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aaa6ed95f72429f" /></Relationships>
</file>

<file path=xl/workbook.xml><?xml version="1.0" encoding="utf-8"?>
<x:workbook xmlns:x="http://schemas.openxmlformats.org/spreadsheetml/2006/main">
  <x:sheets>
    <x:sheet xmlns:r="http://schemas.openxmlformats.org/officeDocument/2006/relationships" name="使用说明" sheetId="1" r:id="R52f49c6cb322427f"/>
    <x:sheet xmlns:r="http://schemas.openxmlformats.org/officeDocument/2006/relationships" name="审核员A_前10" sheetId="2" r:id="Rfaed7930453e47bc"/>
    <x:sheet xmlns:r="http://schemas.openxmlformats.org/officeDocument/2006/relationships" name="审核员B_前10" sheetId="3" r:id="R4337164c660244bb"/>
    <x:sheet xmlns:r="http://schemas.openxmlformats.org/officeDocument/2006/relationships" name="前10分歧汇总" sheetId="4" r:id="R1fda925b9bdf450e"/>
    <x:sheet xmlns:r="http://schemas.openxmlformats.org/officeDocument/2006/relationships" name="剩余40_分工" sheetId="5" r:id="Rf4b2b635f4a34516"/>
    <x:sheet xmlns:r="http://schemas.openxmlformats.org/officeDocument/2006/relationships" name="标签字典" sheetId="6" r:id="R35d87c0389334e8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6">
    <x:font>
      <x:sz val="11"/>
      <x:name val="Carlito"/>
    </x:font>
    <x:font>
      <x:b/>
      <x:sz val="16"/>
      <x:color rgb="FFFFFFFF"/>
      <x:name val="Carlito"/>
    </x:font>
    <x:font>
      <x:i/>
      <x:sz val="10"/>
      <x:color rgb="FF16324F"/>
      <x:name val="Carlito"/>
    </x:font>
    <x:font>
      <x:b/>
      <x:sz val="10"/>
      <x:color rgb="FFFFFFFF"/>
      <x:name val="Carlito"/>
    </x:font>
    <x:font>
      <x:b/>
      <x:sz val="10"/>
      <x:color rgb="FF2F2500"/>
      <x:name val="Carlito"/>
    </x:font>
    <x:font>
      <x:sz val="9"/>
      <x:color rgb="FF344054"/>
      <x:name val="Carlito"/>
    </x:font>
    <x:font>
      <x:sz val="10"/>
      <x:color rgb="FF2F2500"/>
      <x:name val="Carlito"/>
    </x:font>
    <x:font>
      <x:b/>
      <x:sz val="11"/>
      <x:color rgb="FFFFFFFF"/>
      <x:name val="Carlito"/>
    </x:font>
    <x:font>
      <x:b/>
      <x:sz val="11"/>
      <x:color rgb="FF2F2500"/>
      <x:name val="Carlito"/>
    </x:font>
    <x:font>
      <x:sz val="10"/>
      <x:name val="Carlito"/>
    </x:font>
    <x:font>
      <x:b/>
      <x:sz val="10"/>
      <x:color rgb="FF16324F"/>
      <x:name val="Carlito"/>
    </x:font>
    <x:font>
      <x:b/>
      <x:sz val="18"/>
      <x:color rgb="FFFFFFFF"/>
      <x:name val="Carlito"/>
    </x:font>
    <x:font>
      <x:b/>
      <x:sz val="11"/>
      <x:color rgb="FF16324F"/>
      <x:name val="Carlito"/>
    </x:font>
    <x:font>
      <x:sz val="11"/>
      <x:color rgb="FF16324F"/>
      <x:name val="Carlito"/>
    </x:font>
    <x:font>
      <x:b/>
      <x:sz val="14"/>
      <x:color rgb="FF16324F"/>
      <x:name val="Carlito"/>
    </x:font>
    <x:font>
      <x:sz val="11"/>
      <x:color rgb="FF344054"/>
      <x:name val="Carlito"/>
    </x:font>
  </x:fonts>
  <x:fills count="10">
    <x:fill>
      <x:patternFill patternType="none"/>
    </x:fill>
    <x:fill>
      <x:patternFill patternType="gray125"/>
    </x:fill>
    <x:fill>
      <x:patternFill patternType="solid">
        <x:fgColor rgb="FF16324F"/>
      </x:patternFill>
    </x:fill>
    <x:fill>
      <x:patternFill patternType="solid">
        <x:fgColor rgb="FFDCEFF2"/>
      </x:patternFill>
    </x:fill>
    <x:fill>
      <x:patternFill patternType="solid">
        <x:fgColor rgb="FF5B7083"/>
      </x:patternFill>
    </x:fill>
    <x:fill>
      <x:patternFill patternType="solid">
        <x:fgColor rgb="FFD6B656"/>
      </x:patternFill>
    </x:fill>
    <x:fill>
      <x:patternFill patternType="solid">
        <x:fgColor rgb="FFF3F6F8"/>
      </x:patternFill>
    </x:fill>
    <x:fill>
      <x:patternFill patternType="solid">
        <x:fgColor rgb="FFFFF2CC"/>
      </x:patternFill>
    </x:fill>
    <x:fill>
      <x:patternFill patternType="solid">
        <x:fgColor rgb="FF1F7A8C"/>
      </x:patternFill>
    </x:fill>
    <x:fill>
      <x:patternFill patternType="solid">
        <x:fgColor rgb="FFD9EAF7"/>
      </x:patternFill>
    </x:fill>
  </x:fills>
  <x:borders count="8">
    <x:border/>
    <x:border>
      <x:right style="thin">
        <x:color rgb="FFD0D5DD"/>
      </x:right>
    </x:border>
    <x:border>
      <x:left style="thin">
        <x:color rgb="FFD0D5DD"/>
      </x:left>
      <x:right style="thin">
        <x:color rgb="FFD0D5DD"/>
      </x:right>
    </x:border>
    <x:border>
      <x:left style="thin">
        <x:color rgb="FFD0D5DD"/>
      </x:left>
    </x:border>
    <x:border>
      <x:left style="thin">
        <x:color rgb="FFD0D5DD"/>
      </x:left>
      <x:top style="thin">
        <x:color rgb="FFD0D5DD"/>
      </x:top>
    </x:border>
    <x:border>
      <x:right style="thin">
        <x:color rgb="FFD0D5DD"/>
      </x:right>
      <x:top style="thin">
        <x:color rgb="FFD0D5DD"/>
      </x:top>
    </x:border>
    <x:border>
      <x:left style="thin">
        <x:color rgb="FFD0D5DD"/>
      </x:left>
      <x:bottom style="thin">
        <x:color rgb="FFD0D5DD"/>
      </x:bottom>
    </x:border>
    <x:border>
      <x:right style="thin">
        <x:color rgb="FFD0D5DD"/>
      </x:right>
      <x:bottom style="thin">
        <x:color rgb="FFD0D5DD"/>
      </x:bottom>
    </x:border>
  </x:borders>
  <x:cellStyleXfs count="1">
    <x:xf numFmtId="0" fontId="0" fillId="0" borderId="0"/>
  </x:cellStyleXfs>
  <x:cellXfs count="6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8" fillId="5" borderId="0" xfId="0" applyNumberFormat="1" applyFont="1" applyFill="1" applyBorder="1"/>
    <x:xf numFmtId="0" fontId="8" fillId="5" borderId="0" xfId="0" applyNumberFormat="1" applyFont="1" applyFill="1" applyBorder="1" applyAlignment="1">
      <x:alignment wrapText="1"/>
    </x:xf>
    <x:xf numFmtId="0" fontId="9" fillId="6" borderId="0" xfId="0" applyNumberFormat="1" applyFont="1" applyFill="1" applyBorder="1"/>
    <x:xf numFmtId="0" fontId="9"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9" borderId="0" xfId="0" applyNumberFormat="1" applyFont="1" applyFill="1" applyBorder="1" applyAlignment="1">
      <x:alignment wrapText="1"/>
    </x:xf>
    <x:xf numFmtId="0" fontId="10" fillId="9" borderId="0" xfId="0" applyNumberFormat="1" applyFont="1" applyFill="1" applyBorder="1" applyAlignment="1">
      <x:alignment wrapText="1"/>
    </x:xf>
    <x:xf numFmtId="0" fontId="11" fillId="2" borderId="0" xfId="0" applyNumberFormat="1" applyFont="1" applyFill="1" applyBorder="1"/>
    <x:xf numFmtId="0" fontId="11" fillId="2" borderId="0" xfId="0" applyNumberFormat="1" applyFont="1" applyFill="1" applyBorder="1" applyAlignment="1">
      <x:alignment vertical="center"/>
    </x:xf>
    <x:xf numFmtId="0" fontId="12" fillId="3" borderId="0" xfId="0" applyNumberFormat="1" applyFont="1" applyFill="1" applyBorder="1"/>
    <x:xf numFmtId="0" fontId="12" fillId="3" borderId="0" xfId="0" applyNumberFormat="1" applyFont="1" applyFill="1" applyBorder="1" applyAlignment="1">
      <x:alignment wrapText="1"/>
    </x:xf>
    <x:xf numFmtId="0" fontId="13" fillId="6" borderId="0" xfId="0" applyNumberFormat="1" applyFont="1" applyFill="1" applyBorder="1"/>
    <x:xf numFmtId="0" fontId="0" fillId="9" borderId="0" xfId="0" applyNumberFormat="1" applyFont="1" applyFill="1" applyBorder="1"/>
    <x:xf numFmtId="0" fontId="14" fillId="9" borderId="0" xfId="0" applyNumberFormat="1" applyFont="1" applyFill="1" applyBorder="1"/>
    <x:xf numFmtId="200" fontId="14" fillId="9" borderId="0" xfId="0" applyNumberFormat="1" applyFont="1" applyFill="1" applyBorder="1"/>
    <x:xf numFmtId="0" fontId="7" fillId="8" borderId="4" xfId="0" applyNumberFormat="1" applyFont="1" applyFill="1" applyBorder="1"/>
    <x:xf numFmtId="0" fontId="7" fillId="8" borderId="5" xfId="0" applyNumberFormat="1" applyFont="1" applyFill="1" applyBorder="1"/>
    <x:xf numFmtId="0" fontId="13" fillId="6" borderId="3" xfId="0" applyNumberFormat="1" applyFont="1" applyFill="1" applyBorder="1"/>
    <x:xf numFmtId="200" fontId="14" fillId="9" borderId="1" xfId="0" applyNumberFormat="1" applyFont="1" applyFill="1" applyBorder="1"/>
    <x:xf numFmtId="0" fontId="13" fillId="6" borderId="6" xfId="0" applyNumberFormat="1" applyFont="1" applyFill="1" applyBorder="1"/>
    <x:xf numFmtId="200" fontId="14" fillId="9" borderId="7" xfId="0" applyNumberFormat="1" applyFont="1" applyFill="1" applyBorder="1"/>
    <x:xf numFmtId="0" fontId="12" fillId="9" borderId="0" xfId="0" applyNumberFormat="1" applyFont="1" applyFill="1" applyBorder="1"/>
    <x:xf numFmtId="0" fontId="12" fillId="9" borderId="0" xfId="0" applyNumberFormat="1" applyFont="1" applyFill="1" applyBorder="1" applyAlignment="1">
      <x:alignment horizontal="center"/>
    </x:xf>
    <x:xf numFmtId="0" fontId="15" fillId="6" borderId="0" xfId="0" applyNumberFormat="1" applyFont="1" applyFill="1" applyBorder="1"/>
    <x:xf numFmtId="0" fontId="15" fillId="6" borderId="0" xfId="0" applyNumberFormat="1" applyFont="1" applyFill="1" applyBorder="1" applyAlignment="1">
      <x:alignment wrapText="1"/>
    </x:xf>
    <x:xf numFmtId="0" fontId="7" fillId="2" borderId="0" xfId="0" applyNumberFormat="1" applyFont="1" applyFill="1" applyBorder="1"/>
    <x:xf numFmtId="0" fontId="8" fillId="7" borderId="0" xfId="0" applyNumberFormat="1" applyFont="1" applyFill="1" applyBorder="1"/>
  </x:cellXfs>
  <x:cellStyles count="1">
    <x:cellStyle name="Normal" xfId="0"/>
  </x:cellStyles>
  <x:dxfs count="9">
    <x:dxf>
      <x:font>
        <x:b/>
        <x:color rgb="FF2E5D23"/>
      </x:font>
      <x:fill>
        <x:patternFill patternType="solid">
          <x:bgColor rgb="FFE2F0D9"/>
        </x:patternFill>
      </x:fill>
    </x:dxf>
    <x:dxf>
      <x:font>
        <x:b/>
        <x:color rgb="FF9C2A10"/>
      </x:font>
      <x:fill>
        <x:patternFill patternType="solid">
          <x:bgColor rgb="FFFCE4D6"/>
        </x:patternFill>
      </x:fill>
    </x:dxf>
    <x:dxf>
      <x:font>
        <x:b/>
        <x:color rgb="FF2E5D23"/>
      </x:font>
      <x:fill>
        <x:patternFill patternType="solid">
          <x:bgColor rgb="FFE2F0D9"/>
        </x:patternFill>
      </x:fill>
    </x:dxf>
    <x:dxf>
      <x:font>
        <x:b/>
        <x:color rgb="FF9C2A10"/>
      </x:font>
      <x:fill>
        <x:patternFill patternType="solid">
          <x:bgColor rgb="FFFCE4D6"/>
        </x:patternFill>
      </x:fill>
    </x:dxf>
    <x:dxf>
      <x:font>
        <x:b/>
        <x:color rgb="FF9C2A10"/>
      </x:font>
      <x:fill>
        <x:patternFill patternType="solid">
          <x:bgColor rgb="FFFCE4D6"/>
        </x:patternFill>
      </x:fill>
    </x:dxf>
    <x:dxf>
      <x:font>
        <x:color rgb="FF2E5D23"/>
      </x:font>
      <x:fill>
        <x:patternFill patternType="solid">
          <x:bgColor rgb="FFE2F0D9"/>
        </x:patternFill>
      </x:fill>
    </x:dxf>
    <x:dxf>
      <x:font>
        <x:color rgb="FF16324F"/>
      </x:font>
      <x:fill>
        <x:patternFill patternType="solid">
          <x:bgColor rgb="FFD9EAF7"/>
        </x:patternFill>
      </x:fill>
    </x:dxf>
    <x:dxf>
      <x:font>
        <x:b/>
        <x:color rgb="FF2E5D23"/>
      </x:font>
      <x:fill>
        <x:patternFill patternType="solid">
          <x:bgColor rgb="FFE2F0D9"/>
        </x:patternFill>
      </x:fill>
    </x:dxf>
    <x:dxf>
      <x:font>
        <x:b/>
        <x:color rgb="FF9C2A1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7ff843cc62f4fcc" /><Relationship Type="http://schemas.openxmlformats.org/officeDocument/2006/relationships/theme" Target="/xl/theme/theme1.xml" Id="Rb120281399f64a1c" /><Relationship Type="http://schemas.openxmlformats.org/officeDocument/2006/relationships/sharedStrings" Target="/xl/sharedStrings.xml" Id="Rdfd3530132bc4756" /><Relationship Type="http://schemas.openxmlformats.org/officeDocument/2006/relationships/worksheet" Target="/xl/worksheets/sheet1.xml" Id="R52f49c6cb322427f" /><Relationship Type="http://schemas.openxmlformats.org/officeDocument/2006/relationships/worksheet" Target="/xl/worksheets/sheet2.xml" Id="Rfaed7930453e47bc" /><Relationship Type="http://schemas.openxmlformats.org/officeDocument/2006/relationships/worksheet" Target="/xl/worksheets/sheet3.xml" Id="R4337164c660244bb" /><Relationship Type="http://schemas.openxmlformats.org/officeDocument/2006/relationships/worksheet" Target="/xl/worksheets/sheet4.xml" Id="R1fda925b9bdf450e" /><Relationship Type="http://schemas.openxmlformats.org/officeDocument/2006/relationships/worksheet" Target="/xl/worksheets/sheet5.xml" Id="Rf4b2b635f4a34516" /><Relationship Type="http://schemas.openxmlformats.org/officeDocument/2006/relationships/worksheet" Target="/xl/worksheets/sheet6.xml" Id="R35d87c0389334e83" /></Relationships>
</file>

<file path=xl/tables/table1.xml><?xml version="1.0" encoding="utf-8"?>
<x:table xmlns:x="http://schemas.openxmlformats.org/spreadsheetml/2006/main" id="1" name="ReviewerACalibrationTable" displayName="ReviewerACalibrationTable" ref="A3:Y13" headerRowCount="1" totalsRowCount="0" totalsRowShown="0">
  <x:tableColumns count="25">
    <x:tableColumn id="1" name="样本序号"/>
    <x:tableColumn id="2" name="商品ID"/>
    <x:tableColumn id="3" name="商品标题"/>
    <x:tableColumn id="4" name="原始末级分类"/>
    <x:tableColumn id="5" name="完整分类路径"/>
    <x:tableColumn id="6" name="原始价格"/>
    <x:tableColumn id="7" name="原始店铺"/>
    <x:tableColumn id="8" name="原始适用人群"/>
    <x:tableColumn id="9" name="原始颜色"/>
    <x:tableColumn id="10" name="原始材质"/>
    <x:tableColumn id="11" name="原始品牌"/>
    <x:tableColumn id="12" name="原始尺码"/>
    <x:tableColumn id="13" name="卖点摘要"/>
    <x:tableColumn id="14" name="描述摘要"/>
    <x:tableColumn id="15" name="审核分类"/>
    <x:tableColumn id="16" name="适用人群"/>
    <x:tableColumn id="17" name="颜色"/>
    <x:tableColumn id="18" name="材质"/>
    <x:tableColumn id="19" name="品牌"/>
    <x:tableColumn id="20" name="尺码"/>
    <x:tableColumn id="21" name="使用场景"/>
    <x:tableColumn id="22" name="商品功能"/>
    <x:tableColumn id="23" name="数据问题"/>
    <x:tableColumn id="24" name="审核备注"/>
    <x:tableColumn id="25" name="完成状态"/>
  </x:tableColumns>
  <x:tableStyleInfo name="TableStyleMedium2" showFirstColumn="0" showLastColumn="0" showRowStripes="1" showColumnStripes="0"/>
</x:table>
</file>

<file path=xl/tables/table2.xml><?xml version="1.0" encoding="utf-8"?>
<x:table xmlns:x="http://schemas.openxmlformats.org/spreadsheetml/2006/main" id="2" name="ReviewerBCalibrationTable" displayName="ReviewerBCalibrationTable" ref="A3:Y13" headerRowCount="1" totalsRowCount="0" totalsRowShown="0">
  <x:tableColumns count="25">
    <x:tableColumn id="1" name="样本序号"/>
    <x:tableColumn id="2" name="商品ID"/>
    <x:tableColumn id="3" name="商品标题"/>
    <x:tableColumn id="4" name="原始末级分类"/>
    <x:tableColumn id="5" name="完整分类路径"/>
    <x:tableColumn id="6" name="原始价格"/>
    <x:tableColumn id="7" name="原始店铺"/>
    <x:tableColumn id="8" name="原始适用人群"/>
    <x:tableColumn id="9" name="原始颜色"/>
    <x:tableColumn id="10" name="原始材质"/>
    <x:tableColumn id="11" name="原始品牌"/>
    <x:tableColumn id="12" name="原始尺码"/>
    <x:tableColumn id="13" name="卖点摘要"/>
    <x:tableColumn id="14" name="描述摘要"/>
    <x:tableColumn id="15" name="审核分类"/>
    <x:tableColumn id="16" name="适用人群"/>
    <x:tableColumn id="17" name="颜色"/>
    <x:tableColumn id="18" name="材质"/>
    <x:tableColumn id="19" name="品牌"/>
    <x:tableColumn id="20" name="尺码"/>
    <x:tableColumn id="21" name="使用场景"/>
    <x:tableColumn id="22" name="商品功能"/>
    <x:tableColumn id="23" name="数据问题"/>
    <x:tableColumn id="24" name="审核备注"/>
    <x:tableColumn id="25" name="完成状态"/>
  </x:tableColumns>
  <x:tableStyleInfo name="TableStyleMedium2" showFirstColumn="0" showLastColumn="0" showRowStripes="1" showColumnStripes="0"/>
</x:table>
</file>

<file path=xl/tables/table3.xml><?xml version="1.0" encoding="utf-8"?>
<x:table xmlns:x="http://schemas.openxmlformats.org/spreadsheetml/2006/main" id="3" name="CalibrationComparisonTable" displayName="CalibrationComparisonTable" ref="A3:P13" headerRowCount="1" totalsRowCount="0" totalsRowShown="0">
  <x:tableColumns count="16">
    <x:tableColumn id="1" name="样本序号"/>
    <x:tableColumn id="2" name="商品ID"/>
    <x:tableColumn id="3" name="商品标题"/>
    <x:tableColumn id="4" name="分类"/>
    <x:tableColumn id="5" name="适用人群"/>
    <x:tableColumn id="6" name="颜色"/>
    <x:tableColumn id="7" name="材质"/>
    <x:tableColumn id="8" name="品牌"/>
    <x:tableColumn id="9" name="尺码"/>
    <x:tableColumn id="10" name="使用场景"/>
    <x:tableColumn id="11" name="商品功能"/>
    <x:tableColumn id="12" name="数据问题"/>
    <x:tableColumn id="13" name="分歧数量"/>
    <x:tableColumn id="14" name="对比状态"/>
    <x:tableColumn id="15" name="最终结论"/>
    <x:tableColumn id="16" name="处理备注"/>
  </x:tableColumns>
  <x:tableStyleInfo name="TableStyleMedium4" showFirstColumn="0" showLastColumn="0" showRowStripes="1" showColumnStripes="0"/>
</x:table>
</file>

<file path=xl/tables/table4.xml><?xml version="1.0" encoding="utf-8"?>
<x:table xmlns:x="http://schemas.openxmlformats.org/spreadsheetml/2006/main" id="4" name="AssignedAuditTable" displayName="AssignedAuditTable" ref="A3:Z43" headerRowCount="1" totalsRowCount="0" totalsRowShown="0">
  <x:tableColumns count="26">
    <x:tableColumn id="1" name="样本序号"/>
    <x:tableColumn id="2" name="负责人"/>
    <x:tableColumn id="3" name="商品ID"/>
    <x:tableColumn id="4" name="商品标题"/>
    <x:tableColumn id="5" name="原始末级分类"/>
    <x:tableColumn id="6" name="完整分类路径"/>
    <x:tableColumn id="7" name="原始价格"/>
    <x:tableColumn id="8" name="原始店铺"/>
    <x:tableColumn id="9" name="原始适用人群"/>
    <x:tableColumn id="10" name="原始颜色"/>
    <x:tableColumn id="11" name="原始材质"/>
    <x:tableColumn id="12" name="原始品牌"/>
    <x:tableColumn id="13" name="原始尺码"/>
    <x:tableColumn id="14" name="卖点摘要"/>
    <x:tableColumn id="15" name="描述摘要"/>
    <x:tableColumn id="16" name="审核分类"/>
    <x:tableColumn id="17" name="适用人群"/>
    <x:tableColumn id="18" name="颜色"/>
    <x:tableColumn id="19" name="材质"/>
    <x:tableColumn id="20" name="品牌"/>
    <x:tableColumn id="21" name="尺码"/>
    <x:tableColumn id="22" name="使用场景"/>
    <x:tableColumn id="23" name="商品功能"/>
    <x:tableColumn id="24" name="数据问题"/>
    <x:tableColumn id="25" name="审核备注"/>
    <x:tableColumn id="26" name="完成状态"/>
  </x:tableColumns>
  <x:tableStyleInfo name="TableStyleMedium2" showFirstColumn="0" showLastColumn="0" showRowStripes="1" showColumnStripes="0"/>
</x:table>
</file>

<file path=xl/tables/table5.xml><?xml version="1.0" encoding="utf-8"?>
<x:table xmlns:x="http://schemas.openxmlformats.org/spreadsheetml/2006/main" id="5" name="LabelDictionaryTable" displayName="LabelDictionaryTable" ref="A3:E13" headerRowCount="1" totalsRowCount="0" totalsRowShown="0">
  <x:tableColumns count="5">
    <x:tableColumn id="1" name="字段"/>
    <x:tableColumn id="2" name="填写格式"/>
    <x:tableColumn id="3" name="示例"/>
    <x:tableColumn id="4" name="判断规则"/>
    <x:tableColumn id="5" name="常见问题"/>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885ce0d03de4b62" /></Relationships>
</file>

<file path=xl/worksheets/_rels/sheet3.xml.rels>&#65279;<?xml version="1.0" encoding="utf-8"?><Relationships xmlns="http://schemas.openxmlformats.org/package/2006/relationships"><Relationship Type="http://schemas.openxmlformats.org/officeDocument/2006/relationships/table" Target="/xl/tables/table2.xml" Id="R1454cc30575b4de3" /></Relationships>
</file>

<file path=xl/worksheets/_rels/sheet4.xml.rels>&#65279;<?xml version="1.0" encoding="utf-8"?><Relationships xmlns="http://schemas.openxmlformats.org/package/2006/relationships"><Relationship Type="http://schemas.openxmlformats.org/officeDocument/2006/relationships/table" Target="/xl/tables/table3.xml" Id="Re993e6901db84b59" /></Relationships>
</file>

<file path=xl/worksheets/_rels/sheet5.xml.rels>&#65279;<?xml version="1.0" encoding="utf-8"?><Relationships xmlns="http://schemas.openxmlformats.org/package/2006/relationships"><Relationship Type="http://schemas.openxmlformats.org/officeDocument/2006/relationships/table" Target="/xl/tables/table4.xml" Id="R319d7c3ef4ec45d9" /></Relationships>
</file>

<file path=xl/worksheets/_rels/sheet6.xml.rels>&#65279;<?xml version="1.0" encoding="utf-8"?><Relationships xmlns="http://schemas.openxmlformats.org/package/2006/relationships"><Relationship Type="http://schemas.openxmlformats.org/officeDocument/2006/relationships/table" Target="/xl/tables/table5.xml" Id="Ref5afaa24a134c9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5" hidden="0" customWidth="1"/>
    <x:col min="4" max="4" width="8" hidden="0" customWidth="1"/>
    <x:col min="5" max="5" width="18" hidden="0" customWidth="1"/>
    <x:col min="6" max="6" width="18" hidden="0" customWidth="1"/>
    <x:col min="7" max="7" width="18" hidden="0" customWidth="1"/>
    <x:col min="8" max="8" width="18" hidden="0" customWidth="1"/>
  </x:cols>
  <x:sheetData>
    <x:row r="1" ht="38" customHeight="1">
      <x:c r="A1" s="49" t="str">
        <x:v>商品数据人工审核｜协作工作簿</x:v>
      </x:c>
      <x:c r="B1" s="49"/>
      <x:c r="C1" s="49"/>
      <x:c r="D1" s="49"/>
      <x:c r="E1" s="49"/>
      <x:c r="F1" s="49"/>
      <x:c r="G1" s="49"/>
      <x:c r="H1" s="49"/>
    </x:row>
    <x:row r="3" ht="34" customHeight="1">
      <x:c r="A3" s="51" t="str">
        <x:v>目标：把原始商品信息转成团队认可、技术同学可验证的标准答案。黄色单元格需要人工填写。</x:v>
      </x:c>
      <x:c r="B3" s="51"/>
      <x:c r="C3" s="51"/>
      <x:c r="D3" s="51"/>
      <x:c r="E3" s="51"/>
      <x:c r="F3" s="51"/>
      <x:c r="G3" s="51"/>
      <x:c r="H3" s="51"/>
    </x:row>
    <x:row r="5">
      <x:c r="A5" s="56" t="str">
        <x:v>进度指标</x:v>
      </x:c>
      <x:c r="B5" s="57" t="str">
        <x:v>当前数量</x:v>
      </x:c>
      <x:c r="D5" s="37" t="str">
        <x:v>推荐工作顺序</x:v>
      </x:c>
      <x:c r="E5" s="37"/>
      <x:c r="F5" s="37"/>
      <x:c r="G5" s="37"/>
      <x:c r="H5" s="37"/>
    </x:row>
    <x:row r="6" ht="32" customHeight="1">
      <x:c r="A6" s="58" t="str">
        <x:v>审核员A完成（前10）</x:v>
      </x:c>
      <x:c r="B6" s="59" t="n">
        <x:f>COUNTIF('审核员A_前10'!$Y$4:$Y$13,"已完成")</x:f>
        <x:v>0</x:v>
      </x:c>
      <x:c r="D6" s="63" t="str">
        <x:v>1</x:v>
      </x:c>
      <x:c r="E6" s="65" t="str">
        <x:v>审核员A和B分别填写各自的前10条工作表，不互看。</x:v>
      </x:c>
      <x:c r="F6" s="65"/>
      <x:c r="G6" s="65"/>
      <x:c r="H6" s="65"/>
    </x:row>
    <x:row r="7" ht="32" customHeight="1">
      <x:c r="A7" s="58" t="str">
        <x:v>审核员B完成（前10）</x:v>
      </x:c>
      <x:c r="B7" s="59" t="n">
        <x:f>COUNTIF('审核员B_前10'!$Y$4:$Y$13,"已完成")</x:f>
        <x:v>0</x:v>
      </x:c>
      <x:c r="D7" s="63" t="str">
        <x:v>2</x:v>
      </x:c>
      <x:c r="E7" s="65" t="str">
        <x:v>打开“前10分歧汇总”，共同讨论红色项目并记录最终结论。</x:v>
      </x:c>
      <x:c r="F7" s="65"/>
      <x:c r="G7" s="65"/>
      <x:c r="H7" s="65"/>
    </x:row>
    <x:row r="8" ht="32" customHeight="1">
      <x:c r="A8" s="58" t="str">
        <x:v>前10待讨论</x:v>
      </x:c>
      <x:c r="B8" s="59" t="n">
        <x:f>COUNTIF('前10分歧汇总'!$N$4:$N$13,"需讨论")</x:f>
        <x:v>0</x:v>
      </x:c>
      <x:c r="D8" s="63" t="str">
        <x:v>3</x:v>
      </x:c>
      <x:c r="E8" s="65" t="str">
        <x:v>必要时更新“标签字典”，确保两人使用同一套规则。</x:v>
      </x:c>
      <x:c r="F8" s="65"/>
      <x:c r="G8" s="65"/>
      <x:c r="H8" s="65"/>
    </x:row>
    <x:row r="9" ht="32" customHeight="1">
      <x:c r="A9" s="60" t="str">
        <x:v>剩余40已完成</x:v>
      </x:c>
      <x:c r="B9" s="61" t="n">
        <x:f>COUNTIF('剩余40_分工'!$Z$4:$Z$43,"已完成")</x:f>
        <x:v>0</x:v>
      </x:c>
      <x:c r="D9" s="63" t="str">
        <x:v>4</x:v>
      </x:c>
      <x:c r="E9" s="65" t="str">
        <x:v>按负责人完成“剩余40条分工审核”。</x:v>
      </x:c>
      <x:c r="F9" s="65"/>
      <x:c r="G9" s="65"/>
      <x:c r="H9" s="65"/>
    </x:row>
    <x:row r="10" ht="32" customHeight="1">
      <x:c r="D10" s="63" t="str">
        <x:v>5</x:v>
      </x:c>
      <x:c r="E10" s="65" t="str">
        <x:v>把完成的工作簿交给技术同学，作为 Catalog Normalizer 的验收样本。</x:v>
      </x:c>
      <x:c r="F10" s="65"/>
      <x:c r="G10" s="65"/>
      <x:c r="H10" s="65"/>
    </x:row>
    <x:row r="12">
      <x:c r="A12" s="66" t="str">
        <x:v>三条必须遵守的原则</x:v>
      </x:c>
      <x:c r="B12" s="66"/>
      <x:c r="C12" s="66"/>
      <x:c r="D12" s="66"/>
      <x:c r="E12" s="66"/>
      <x:c r="F12" s="66"/>
      <x:c r="G12" s="66"/>
      <x:c r="H12" s="66"/>
    </x:row>
    <x:row r="13" ht="32" customHeight="1">
      <x:c r="A13" s="67" t="str">
        <x:v>① 不要猜</x:v>
      </x:c>
      <x:c r="B13" s="67"/>
      <x:c r="C13" s="64" t="str">
        <x:v>缺少或无法判断的信息统一写 unknown。</x:v>
      </x:c>
      <x:c r="D13" s="64"/>
      <x:c r="E13" s="64"/>
      <x:c r="F13" s="64"/>
      <x:c r="G13" s="64"/>
      <x:c r="H13" s="64"/>
    </x:row>
    <x:row r="14" ht="32" customHeight="1">
      <x:c r="A14" s="67" t="str">
        <x:v>② 记录证据</x:v>
      </x:c>
      <x:c r="B14" s="67"/>
      <x:c r="C14" s="64" t="str">
        <x:v>在审核备注中写明答案来自标题、分类、详情还是卖点。</x:v>
      </x:c>
      <x:c r="D14" s="64"/>
      <x:c r="E14" s="64"/>
      <x:c r="F14" s="64"/>
      <x:c r="G14" s="64"/>
      <x:c r="H14" s="64"/>
    </x:row>
    <x:row r="15" ht="32" customHeight="1">
      <x:c r="A15" s="67" t="str">
        <x:v>③ 保留分歧</x:v>
      </x:c>
      <x:c r="B15" s="67"/>
      <x:c r="C15" s="64" t="str">
        <x:v>两人答案不同不是错误；先标记，再共同制定规则。</x:v>
      </x:c>
      <x:c r="D15" s="64"/>
      <x:c r="E15" s="64"/>
      <x:c r="F15" s="64"/>
      <x:c r="G15" s="64"/>
      <x:c r="H15" s="64"/>
    </x:row>
  </x:sheetData>
  <x:mergeCells>
    <x:mergeCell ref="A1:H1"/>
    <x:mergeCell ref="A3:H3"/>
    <x:mergeCell ref="D5:H5"/>
    <x:mergeCell ref="E6:H6"/>
    <x:mergeCell ref="E7:H7"/>
    <x:mergeCell ref="E8:H8"/>
    <x:mergeCell ref="E9:H9"/>
    <x:mergeCell ref="E10:H10"/>
    <x:mergeCell ref="A12:H12"/>
    <x:mergeCell ref="A13:B13"/>
    <x:mergeCell ref="C13:H13"/>
    <x:mergeCell ref="A14:B14"/>
    <x:mergeCell ref="C14:H14"/>
    <x:mergeCell ref="A15:B15"/>
    <x:mergeCell ref="C15:H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15" hidden="0" customWidth="1"/>
    <x:col min="3" max="3" width="34" hidden="0" customWidth="1"/>
    <x:col min="4" max="4" width="20" hidden="0" customWidth="1"/>
    <x:col min="5" max="5" width="36" hidden="0" customWidth="1"/>
    <x:col min="6" max="6" width="12" hidden="0" customWidth="1"/>
    <x:col min="7" max="7" width="18" hidden="0" customWidth="1"/>
    <x:col min="8" max="8" width="16" hidden="0" customWidth="1"/>
    <x:col min="9" max="9" width="14" hidden="0" customWidth="1"/>
    <x:col min="10" max="10" width="14" hidden="0" customWidth="1"/>
    <x:col min="11" max="11" width="16" hidden="0" customWidth="1"/>
    <x:col min="12" max="12" width="14" hidden="0" customWidth="1"/>
    <x:col min="13" max="13" width="38" hidden="0" customWidth="1"/>
    <x:col min="14" max="14" width="38" hidden="0" customWidth="1"/>
    <x:col min="15" max="15" width="18" hidden="0" customWidth="1"/>
    <x:col min="16" max="16" width="14" hidden="0" customWidth="1"/>
    <x:col min="17" max="17" width="14" hidden="0" customWidth="1"/>
    <x:col min="18" max="18" width="16" hidden="0" customWidth="1"/>
    <x:col min="19" max="19" width="16" hidden="0" customWidth="1"/>
    <x:col min="20" max="20" width="14" hidden="0" customWidth="1"/>
    <x:col min="21" max="21" width="18" hidden="0" customWidth="1"/>
    <x:col min="22" max="22" width="18" hidden="0" customWidth="1"/>
    <x:col min="23" max="23" width="28" hidden="0" customWidth="1"/>
    <x:col min="24" max="24" width="34" hidden="0" customWidth="1"/>
    <x:col min="25" max="25" width="14" hidden="0" customWidth="1"/>
  </x:cols>
  <x:sheetData>
    <x:row r="1" ht="30" customHeight="1">
      <x:c r="A1" s="3" t="str">
        <x:v>审核员A｜前10条独立审核</x:v>
      </x:c>
      <x:c r="B1" s="3"/>
      <x:c r="C1" s="3"/>
      <x:c r="D1" s="3"/>
      <x:c r="E1" s="3"/>
      <x:c r="F1" s="3"/>
      <x:c r="G1" s="3"/>
      <x:c r="H1" s="3"/>
      <x:c r="I1" s="3"/>
      <x:c r="J1" s="3"/>
      <x:c r="K1" s="3"/>
      <x:c r="L1" s="3"/>
      <x:c r="M1" s="3"/>
      <x:c r="N1" s="3"/>
      <x:c r="O1" s="3"/>
      <x:c r="P1" s="3"/>
      <x:c r="Q1" s="3"/>
      <x:c r="R1" s="3"/>
      <x:c r="S1" s="3"/>
      <x:c r="T1" s="3"/>
      <x:c r="U1" s="3"/>
      <x:c r="V1" s="3"/>
      <x:c r="W1" s="3"/>
      <x:c r="X1" s="3"/>
      <x:c r="Y1" s="3"/>
    </x:row>
    <x:row r="2" ht="32" customHeight="1">
      <x:c r="A2" s="7" t="str">
        <x:v>只填写黄色区域。两位审核员先独立完成，不要提前互看；无法判断统一填写 unknown。</x:v>
      </x:c>
      <x:c r="B2" s="7"/>
      <x:c r="C2" s="7"/>
      <x:c r="D2" s="7"/>
      <x:c r="E2" s="7"/>
      <x:c r="F2" s="7"/>
      <x:c r="G2" s="7"/>
      <x:c r="H2" s="7"/>
      <x:c r="I2" s="7"/>
      <x:c r="J2" s="7"/>
      <x:c r="K2" s="7"/>
      <x:c r="L2" s="7"/>
      <x:c r="M2" s="7"/>
      <x:c r="N2" s="7"/>
      <x:c r="O2" s="7"/>
      <x:c r="P2" s="7"/>
      <x:c r="Q2" s="7"/>
      <x:c r="R2" s="7"/>
      <x:c r="S2" s="7"/>
      <x:c r="T2" s="7"/>
      <x:c r="U2" s="7"/>
      <x:c r="V2" s="7"/>
      <x:c r="W2" s="7"/>
      <x:c r="X2" s="7"/>
      <x:c r="Y2" s="7"/>
    </x:row>
    <x:row r="3">
      <x:c r="A3" s="16" t="str">
        <x:v>样本序号</x:v>
      </x:c>
      <x:c r="B3" s="17" t="str">
        <x:v>商品ID</x:v>
      </x:c>
      <x:c r="C3" s="17" t="str">
        <x:v>商品标题</x:v>
      </x:c>
      <x:c r="D3" s="17" t="str">
        <x:v>原始末级分类</x:v>
      </x:c>
      <x:c r="E3" s="17" t="str">
        <x:v>完整分类路径</x:v>
      </x:c>
      <x:c r="F3" s="17" t="str">
        <x:v>原始价格</x:v>
      </x:c>
      <x:c r="G3" s="17" t="str">
        <x:v>原始店铺</x:v>
      </x:c>
      <x:c r="H3" s="17" t="str">
        <x:v>原始适用人群</x:v>
      </x:c>
      <x:c r="I3" s="17" t="str">
        <x:v>原始颜色</x:v>
      </x:c>
      <x:c r="J3" s="17" t="str">
        <x:v>原始材质</x:v>
      </x:c>
      <x:c r="K3" s="17" t="str">
        <x:v>原始品牌</x:v>
      </x:c>
      <x:c r="L3" s="17" t="str">
        <x:v>原始尺码</x:v>
      </x:c>
      <x:c r="M3" s="17" t="str">
        <x:v>卖点摘要</x:v>
      </x:c>
      <x:c r="N3" s="18" t="str">
        <x:v>描述摘要</x:v>
      </x:c>
      <x:c r="O3" s="27" t="str">
        <x:v>审核分类</x:v>
      </x:c>
      <x:c r="P3" s="28" t="str">
        <x:v>适用人群</x:v>
      </x:c>
      <x:c r="Q3" s="28" t="str">
        <x:v>颜色</x:v>
      </x:c>
      <x:c r="R3" s="28" t="str">
        <x:v>材质</x:v>
      </x:c>
      <x:c r="S3" s="28" t="str">
        <x:v>品牌</x:v>
      </x:c>
      <x:c r="T3" s="28" t="str">
        <x:v>尺码</x:v>
      </x:c>
      <x:c r="U3" s="28" t="str">
        <x:v>使用场景</x:v>
      </x:c>
      <x:c r="V3" s="28" t="str">
        <x:v>商品功能</x:v>
      </x:c>
      <x:c r="W3" s="28" t="str">
        <x:v>数据问题</x:v>
      </x:c>
      <x:c r="X3" s="28" t="str">
        <x:v>审核备注</x:v>
      </x:c>
      <x:c r="Y3" s="29" t="str">
        <x:v>完成状态</x:v>
      </x:c>
    </x:row>
    <x:row r="4" ht="58" customHeight="1">
      <x:c r="A4" s="32" t="n">
        <x:v>1</x:v>
      </x:c>
      <x:c r="B4" s="32" t="str">
        <x:v>B082BGG9J5</x:v>
      </x:c>
      <x:c r="C4" s="32" t="str">
        <x:v>SpongeBob SquarePants Ladies Fashion Shirt Long Sleeve Tee</x:v>
      </x:c>
      <x:c r="D4" s="32" t="str">
        <x:v>T-Shirts</x:v>
      </x:c>
      <x:c r="E4" s="32" t="str">
        <x:v>Clothing, Shoes &amp; Jewelry &gt; Novelty &amp; More &gt; Clothing &gt; Novelty &gt; Women &gt; Tops &amp; Tees &gt; T-Shirts</x:v>
      </x:c>
      <x:c r="F4" s="32" t="str"/>
      <x:c r="G4" s="32" t="str">
        <x:v>SpongeBob SquarePants</x:v>
      </x:c>
      <x:c r="H4" s="32" t="str">
        <x:v>Womens</x:v>
      </x:c>
      <x:c r="I4" s="32" t="str"/>
      <x:c r="J4" s="32" t="str"/>
      <x:c r="K4" s="32" t="str"/>
      <x:c r="L4" s="32" t="str"/>
      <x:c r="M4" s="32" t="str">
        <x:v>100% Cotton Pull On closure Machine Wash ✔ SPONGEBOB SQUAREPANTS: Rep Spongebob, Gary, Patrick and the rest of the gang from Bikini Bottom. ✔ WHO LIVES IN A PINEAPPLE UNDER THE SEA?: Spongebob Squarepants. ✔ OFFICIALLY LICENSED SPONGEBOB SQ</x:v>
      </x:c>
      <x:c r="N4" s="32" t="str"/>
      <x:c r="O4" s="35" t="str"/>
      <x:c r="P4" s="35" t="str"/>
      <x:c r="Q4" s="35" t="str"/>
      <x:c r="R4" s="35" t="str"/>
      <x:c r="S4" s="35" t="str"/>
      <x:c r="T4" s="35" t="str"/>
      <x:c r="U4" s="35" t="str"/>
      <x:c r="V4" s="35" t="str"/>
      <x:c r="W4" s="35" t="str"/>
      <x:c r="X4" s="35" t="str"/>
      <x:c r="Y4" s="35" t="str">
        <x:v>未开始</x:v>
      </x:c>
    </x:row>
    <x:row r="5" ht="58" customHeight="1">
      <x:c r="A5" s="32" t="n">
        <x:v>2</x:v>
      </x:c>
      <x:c r="B5" s="32" t="str">
        <x:v>B0899B6JP7</x:v>
      </x:c>
      <x:c r="C5" s="32" t="str">
        <x:v>uncinba Womens Leopard Lips Print T Shirt Plus Size Kiss Alphabet Print Short Sleeve Loose Casual Fashion Tee Tops</x:v>
      </x:c>
      <x:c r="D5" s="32" t="str">
        <x:v>T-Shirts</x:v>
      </x:c>
      <x:c r="E5" s="32" t="str">
        <x:v>Clothing, Shoes &amp; Jewelry &gt; Women &gt; Clothing &gt; Tops, Tees &amp; Blouses &gt; T-Shirts</x:v>
      </x:c>
      <x:c r="F5" s="32" t="str"/>
      <x:c r="G5" s="32" t="str">
        <x:v>Uncinba</x:v>
      </x:c>
      <x:c r="H5" s="32" t="str">
        <x:v>Womens</x:v>
      </x:c>
      <x:c r="I5" s="32" t="str"/>
      <x:c r="J5" s="32" t="str"/>
      <x:c r="K5" s="32" t="str"/>
      <x:c r="L5" s="32" t="str"/>
      <x:c r="M5" s="32" t="str">
        <x:v>Drawstring closure</x:v>
      </x:c>
      <x:c r="N5" s="32" t="str"/>
      <x:c r="O5" s="35" t="str"/>
      <x:c r="P5" s="35" t="str"/>
      <x:c r="Q5" s="35" t="str"/>
      <x:c r="R5" s="35" t="str"/>
      <x:c r="S5" s="35" t="str"/>
      <x:c r="T5" s="35" t="str"/>
      <x:c r="U5" s="35" t="str"/>
      <x:c r="V5" s="35" t="str"/>
      <x:c r="W5" s="35" t="str"/>
      <x:c r="X5" s="35" t="str"/>
      <x:c r="Y5" s="35" t="str">
        <x:v>未开始</x:v>
      </x:c>
    </x:row>
    <x:row r="6" ht="58" customHeight="1">
      <x:c r="A6" s="32" t="n">
        <x:v>3</x:v>
      </x:c>
      <x:c r="B6" s="32" t="str">
        <x:v>B0BQLB26JY</x:v>
      </x:c>
      <x:c r="C6" s="32" t="str">
        <x:v>Men’s Workout Core Fit Long Sleeve Shirt, Athletic Bodybuilding Long Sleeve Shirt for Men, Running Core Fit Long Sleeve Shirt</x:v>
      </x:c>
      <x:c r="D6" s="32" t="str">
        <x:v>T-Shirts</x:v>
      </x:c>
      <x:c r="E6" s="32" t="str">
        <x:v>Clothing, Shoes &amp; Jewelry &gt; Men &gt; Clothing &gt; Active &gt; Active Shirts &amp; Tees &gt; T-Shirts</x:v>
      </x:c>
      <x:c r="F6" s="32" t="str">
        <x:v>29.99</x:v>
      </x:c>
      <x:c r="G6" s="32" t="str">
        <x:v>Born Tough</x:v>
      </x:c>
      <x:c r="H6" s="32" t="str">
        <x:v>Mens</x:v>
      </x:c>
      <x:c r="I6" s="32" t="str"/>
      <x:c r="J6" s="32" t="str"/>
      <x:c r="K6" s="32" t="str"/>
      <x:c r="L6" s="32" t="str"/>
      <x:c r="M6" s="32" t="str">
        <x:v>93 % Viscose 7% Spandex Imported Pull On closure Machine Wash [VISCOSE] - Born Tough Viscose Core Fit long-sleeve shirts for men are constructed from an original cloth made by Born Tough known as Swift fabric; Swift fabric is stitched toget</x:v>
      </x:c>
      <x:c r="N6" s="32" t="str"/>
      <x:c r="O6" s="35" t="str"/>
      <x:c r="P6" s="35" t="str"/>
      <x:c r="Q6" s="35" t="str"/>
      <x:c r="R6" s="35" t="str"/>
      <x:c r="S6" s="35" t="str"/>
      <x:c r="T6" s="35" t="str"/>
      <x:c r="U6" s="35" t="str"/>
      <x:c r="V6" s="35" t="str"/>
      <x:c r="W6" s="35" t="str"/>
      <x:c r="X6" s="35" t="str"/>
      <x:c r="Y6" s="35" t="str">
        <x:v>未开始</x:v>
      </x:c>
    </x:row>
    <x:row r="7" ht="58" customHeight="1">
      <x:c r="A7" s="32" t="n">
        <x:v>4</x:v>
      </x:c>
      <x:c r="B7" s="32" t="str">
        <x:v>B095BR27R2</x:v>
      </x:c>
      <x:c r="C7" s="32" t="str">
        <x:v>Pintraces Women's Short-Sleeved Shirt Round Neck Color-Blocking Printed Bouquet Waist Casual Button T-Shirt</x:v>
      </x:c>
      <x:c r="D7" s="32" t="str">
        <x:v>T-Shirts</x:v>
      </x:c>
      <x:c r="E7" s="32" t="str">
        <x:v>Clothing, Shoes &amp; Jewelry &gt; Women &gt; Clothing &gt; Tops, Tees &amp; Blouses &gt; T-Shirts</x:v>
      </x:c>
      <x:c r="F7" s="32" t="str">
        <x:v>21.99</x:v>
      </x:c>
      <x:c r="G7" s="32" t="str">
        <x:v>Pintraces</x:v>
      </x:c>
      <x:c r="H7" s="32" t="str">
        <x:v>Womens</x:v>
      </x:c>
      <x:c r="I7" s="32" t="str"/>
      <x:c r="J7" s="32" t="str"/>
      <x:c r="K7" s="32" t="str"/>
      <x:c r="L7" s="32" t="str"/>
      <x:c r="M7" s="32" t="str">
        <x:v>Polyester,Cotton Pull On closure Hand Wash Only Material composition: 65% cotton + 35% polyester fiber. Lightweight, breathable, soft and comfortable to wear Design features: this round neck long-sleeved basic top is printed with color-bloc</x:v>
      </x:c>
      <x:c r="N7" s="32" t="str"/>
      <x:c r="O7" s="35" t="str"/>
      <x:c r="P7" s="35" t="str"/>
      <x:c r="Q7" s="35" t="str"/>
      <x:c r="R7" s="35" t="str"/>
      <x:c r="S7" s="35" t="str"/>
      <x:c r="T7" s="35" t="str"/>
      <x:c r="U7" s="35" t="str"/>
      <x:c r="V7" s="35" t="str"/>
      <x:c r="W7" s="35" t="str"/>
      <x:c r="X7" s="35" t="str"/>
      <x:c r="Y7" s="35" t="str">
        <x:v>未开始</x:v>
      </x:c>
    </x:row>
    <x:row r="8" ht="58" customHeight="1">
      <x:c r="A8" s="32" t="n">
        <x:v>5</x:v>
      </x:c>
      <x:c r="B8" s="32" t="str">
        <x:v>B0B64QGKPT</x:v>
      </x:c>
      <x:c r="C8" s="32" t="str">
        <x:v>PUMA Men's Cat Tee</x:v>
      </x:c>
      <x:c r="D8" s="32" t="str">
        <x:v>T-Shirts</x:v>
      </x:c>
      <x:c r="E8" s="32" t="str">
        <x:v>Clothing, Shoes &amp; Jewelry &gt; Men &gt; Clothing &gt; Shirts &gt; T-Shirts</x:v>
      </x:c>
      <x:c r="F8" s="32" t="str"/>
      <x:c r="G8" s="32" t="str">
        <x:v>PUMA</x:v>
      </x:c>
      <x:c r="H8" s="32" t="str">
        <x:v>Mens</x:v>
      </x:c>
      <x:c r="I8" s="32" t="str"/>
      <x:c r="J8" s="32" t="str"/>
      <x:c r="K8" s="32" t="str">
        <x:v>PUMA</x:v>
      </x:c>
      <x:c r="L8" s="32" t="str"/>
      <x:c r="M8" s="32" t="str">
        <x:v>100% Polyester Imported No Closure closure Machine Wash</x:v>
      </x:c>
      <x:c r="N8" s="32" t="str">
        <x:v>Built from a lightweight, breathable jersey material the PUMA Heather Cat Tee features our signature dryCELL moisture wicking technology, an extended drop hem and side vents to help you make the most out of all your training activities.</x:v>
      </x:c>
      <x:c r="O8" s="35" t="str"/>
      <x:c r="P8" s="35" t="str"/>
      <x:c r="Q8" s="35" t="str"/>
      <x:c r="R8" s="35" t="str"/>
      <x:c r="S8" s="35" t="str"/>
      <x:c r="T8" s="35" t="str"/>
      <x:c r="U8" s="35" t="str"/>
      <x:c r="V8" s="35" t="str"/>
      <x:c r="W8" s="35" t="str"/>
      <x:c r="X8" s="35" t="str"/>
      <x:c r="Y8" s="35" t="str">
        <x:v>未开始</x:v>
      </x:c>
    </x:row>
    <x:row r="9" ht="58" customHeight="1">
      <x:c r="A9" s="32" t="n">
        <x:v>6</x:v>
      </x:c>
      <x:c r="B9" s="32" t="str">
        <x:v>B00SBEOLHU</x:v>
      </x:c>
      <x:c r="C9" s="32" t="str">
        <x:v>Dr. Martens Women's Anissa Embroidered 14-Eye Zip Boot Black Softy 8 UK</x:v>
      </x:c>
      <x:c r="D9" s="32" t="str">
        <x:v>Shoes</x:v>
      </x:c>
      <x:c r="E9" s="32" t="str">
        <x:v>Clothing, Shoes &amp; Jewelry &gt; Women &gt; Shoes</x:v>
      </x:c>
      <x:c r="F9" s="32" t="str"/>
      <x:c r="G9" s="32" t="str">
        <x:v>Dr. Martens</x:v>
      </x:c>
      <x:c r="H9" s="32" t="str"/>
      <x:c r="I9" s="32" t="str"/>
      <x:c r="J9" s="32" t="str"/>
      <x:c r="K9" s="32" t="str"/>
      <x:c r="L9" s="32" t="str"/>
      <x:c r="M9" s="32" t="str">
        <x:v>Rubber sole</x:v>
      </x:c>
      <x:c r="N9" s="32" t="str"/>
      <x:c r="O9" s="35" t="str"/>
      <x:c r="P9" s="35" t="str"/>
      <x:c r="Q9" s="35" t="str"/>
      <x:c r="R9" s="35" t="str"/>
      <x:c r="S9" s="35" t="str"/>
      <x:c r="T9" s="35" t="str"/>
      <x:c r="U9" s="35" t="str"/>
      <x:c r="V9" s="35" t="str"/>
      <x:c r="W9" s="35" t="str"/>
      <x:c r="X9" s="35" t="str"/>
      <x:c r="Y9" s="35" t="str">
        <x:v>未开始</x:v>
      </x:c>
    </x:row>
    <x:row r="10" ht="58" customHeight="1">
      <x:c r="A10" s="32" t="n">
        <x:v>7</x:v>
      </x:c>
      <x:c r="B10" s="32" t="str">
        <x:v>B0058XF84W</x:v>
      </x:c>
      <x:c r="C10" s="32" t="str">
        <x:v>Ryka Women's Dash,Metallic Lake Blue/Chrome Silver/Steel Grey/White,US 5.5 M</x:v>
      </x:c>
      <x:c r="D10" s="32" t="str">
        <x:v>Shoes</x:v>
      </x:c>
      <x:c r="E10" s="32" t="str">
        <x:v>Clothing, Shoes &amp; Jewelry &gt; Women &gt; Shoes</x:v>
      </x:c>
      <x:c r="F10" s="32" t="str"/>
      <x:c r="G10" s="32" t="str">
        <x:v>Ryka</x:v>
      </x:c>
      <x:c r="H10" s="32" t="str"/>
      <x:c r="I10" s="32" t="str"/>
      <x:c r="J10" s="32" t="str"/>
      <x:c r="K10" s="32" t="str"/>
      <x:c r="L10" s="32" t="str"/>
      <x:c r="M10" s="32" t="str"/>
      <x:c r="N10" s="32" t="str"/>
      <x:c r="O10" s="35" t="str"/>
      <x:c r="P10" s="35" t="str"/>
      <x:c r="Q10" s="35" t="str"/>
      <x:c r="R10" s="35" t="str"/>
      <x:c r="S10" s="35" t="str"/>
      <x:c r="T10" s="35" t="str"/>
      <x:c r="U10" s="35" t="str"/>
      <x:c r="V10" s="35" t="str"/>
      <x:c r="W10" s="35" t="str"/>
      <x:c r="X10" s="35" t="str"/>
      <x:c r="Y10" s="35" t="str">
        <x:v>未开始</x:v>
      </x:c>
    </x:row>
    <x:row r="11" ht="58" customHeight="1">
      <x:c r="A11" s="32" t="n">
        <x:v>8</x:v>
      </x:c>
      <x:c r="B11" s="32" t="str">
        <x:v>B005GO4FOW</x:v>
      </x:c>
      <x:c r="C11" s="32" t="str">
        <x:v>Dr. Martens Naseby ST Work Boot</x:v>
      </x:c>
      <x:c r="D11" s="32" t="str">
        <x:v>Shoes</x:v>
      </x:c>
      <x:c r="E11" s="32" t="str">
        <x:v>Clothing, Shoes &amp; Jewelry &gt; Men &gt; Uniforms, Work &amp; Safety &gt; Shoes &gt; Work &amp; Utility &gt; Shoes</x:v>
      </x:c>
      <x:c r="F11" s="32" t="str"/>
      <x:c r="G11" s="32" t="str">
        <x:v>Dr. Martens</x:v>
      </x:c>
      <x:c r="H11" s="32" t="str">
        <x:v>womens</x:v>
      </x:c>
      <x:c r="I11" s="32" t="str"/>
      <x:c r="J11" s="32" t="str"/>
      <x:c r="K11" s="32" t="str">
        <x:v>Dr. Martens</x:v>
      </x:c>
      <x:c r="L11" s="32" t="str"/>
      <x:c r="M11" s="32" t="str">
        <x:v>100% Leather Imported Manmade sole Heel measures approximately 1.5" Leather upper PVC outsole 3/4" Fabric R14125001, R14125202</x:v>
      </x:c>
      <x:c r="N11" s="32" t="str">
        <x:v>Dr. Martens is the stuff of legends. It all began near Munich, Germany in 1945 when Dr. Klaus Maertens injured his foot in a skiing accident in the Bavarian Alps. To make walking easier during the healing process, he designed a shoe with an</x:v>
      </x:c>
      <x:c r="O11" s="35" t="str"/>
      <x:c r="P11" s="35" t="str"/>
      <x:c r="Q11" s="35" t="str"/>
      <x:c r="R11" s="35" t="str"/>
      <x:c r="S11" s="35" t="str"/>
      <x:c r="T11" s="35" t="str"/>
      <x:c r="U11" s="35" t="str"/>
      <x:c r="V11" s="35" t="str"/>
      <x:c r="W11" s="35" t="str"/>
      <x:c r="X11" s="35" t="str"/>
      <x:c r="Y11" s="35" t="str">
        <x:v>未开始</x:v>
      </x:c>
    </x:row>
    <x:row r="12" ht="58" customHeight="1">
      <x:c r="A12" s="32" t="n">
        <x:v>9</x:v>
      </x:c>
      <x:c r="B12" s="32" t="str">
        <x:v>B07GLN2JG3</x:v>
      </x:c>
      <x:c r="C12" s="32" t="str">
        <x:v>JACKSHIBO Steel Toe Work Shoes for Men Women Safety Shoes Breathable Industrial Construction Shoes Camouflage Green</x:v>
      </x:c>
      <x:c r="D12" s="32" t="str">
        <x:v>Shoes</x:v>
      </x:c>
      <x:c r="E12" s="32" t="str">
        <x:v>Clothing, Shoes &amp; Jewelry &gt; Men &gt; Uniforms, Work &amp; Safety &gt; Shoes &gt; Work &amp; Utility &gt; Shoes</x:v>
      </x:c>
      <x:c r="F12" s="32" t="str"/>
      <x:c r="G12" s="32" t="str">
        <x:v>JACKSHIBO</x:v>
      </x:c>
      <x:c r="H12" s="32" t="str">
        <x:v>Mens</x:v>
      </x:c>
      <x:c r="I12" s="32" t="str"/>
      <x:c r="J12" s="32" t="str"/>
      <x:c r="K12" s="32" t="str"/>
      <x:c r="L12" s="32" t="str"/>
      <x:c r="M12" s="32" t="str">
        <x:v>Rubber sole</x:v>
      </x:c>
      <x:c r="N12" s="32" t="str"/>
      <x:c r="O12" s="35" t="str"/>
      <x:c r="P12" s="35" t="str"/>
      <x:c r="Q12" s="35" t="str"/>
      <x:c r="R12" s="35" t="str"/>
      <x:c r="S12" s="35" t="str"/>
      <x:c r="T12" s="35" t="str"/>
      <x:c r="U12" s="35" t="str"/>
      <x:c r="V12" s="35" t="str"/>
      <x:c r="W12" s="35" t="str"/>
      <x:c r="X12" s="35" t="str"/>
      <x:c r="Y12" s="35" t="str">
        <x:v>未开始</x:v>
      </x:c>
    </x:row>
    <x:row r="13" ht="58" customHeight="1">
      <x:c r="A13" s="32" t="n">
        <x:v>10</x:v>
      </x:c>
      <x:c r="B13" s="32" t="str">
        <x:v>B0798NPXXZ</x:v>
      </x:c>
      <x:c r="C13" s="32" t="str">
        <x:v>FITORY Men's Flip-Flop Thong Sandals Light Weight Beach Slippers Size 7-13 Brown</x:v>
      </x:c>
      <x:c r="D13" s="32" t="str">
        <x:v>Shoes</x:v>
      </x:c>
      <x:c r="E13" s="32" t="str">
        <x:v>Clothing, Shoes &amp; Jewelry &gt; Men &gt; Shoes</x:v>
      </x:c>
      <x:c r="F13" s="32" t="str"/>
      <x:c r="G13" s="32" t="str">
        <x:v>FITORY</x:v>
      </x:c>
      <x:c r="H13" s="32" t="str"/>
      <x:c r="I13" s="32" t="str"/>
      <x:c r="J13" s="32" t="str"/>
      <x:c r="K13" s="32" t="str"/>
      <x:c r="L13" s="32" t="str"/>
      <x:c r="M13" s="32" t="str">
        <x:v>Rubber sole</x:v>
      </x:c>
      <x:c r="N13" s="32" t="str"/>
      <x:c r="O13" s="35" t="str"/>
      <x:c r="P13" s="35" t="str"/>
      <x:c r="Q13" s="35" t="str"/>
      <x:c r="R13" s="35" t="str"/>
      <x:c r="S13" s="35" t="str"/>
      <x:c r="T13" s="35" t="str"/>
      <x:c r="U13" s="35" t="str"/>
      <x:c r="V13" s="35" t="str"/>
      <x:c r="W13" s="35" t="str"/>
      <x:c r="X13" s="35" t="str"/>
      <x:c r="Y13" s="35" t="str">
        <x:v>未开始</x:v>
      </x:c>
    </x:row>
  </x:sheetData>
  <x:mergeCells>
    <x:mergeCell ref="A1:Y1"/>
    <x:mergeCell ref="A2:Y2"/>
  </x:mergeCells>
  <x:conditionalFormatting sqref="Y4:Y13">
    <x:cfRule type="containsText" dxfId="0" priority="1" operator="containsText" text="已完成"/>
    <x:cfRule type="containsText" dxfId="1" priority="2" operator="containsText" text="需讨论"/>
  </x:conditionalFormatting>
  <x:dataValidations count="2">
    <x:dataValidation type="list" sqref="P4:P13">
      <x:formula1>"women,men,unisex,kids,unknown"</x:formula1>
    </x:dataValidation>
    <x:dataValidation type="list" sqref="Y4:Y13">
      <x:formula1>"未开始,审核中,已完成,需讨论"</x:formula1>
    </x:dataValidation>
  </x:dataValidations>
  <x:pageMargins left="0.7" right="0.7" top="0.75" bottom="0.75" header="0.3" footer="0.3"/>
  <x:tableParts count="1">
    <x:tablePart xmlns:r="http://schemas.openxmlformats.org/officeDocument/2006/relationships" r:id="R8885ce0d03de4b6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15" hidden="0" customWidth="1"/>
    <x:col min="3" max="3" width="34" hidden="0" customWidth="1"/>
    <x:col min="4" max="4" width="20" hidden="0" customWidth="1"/>
    <x:col min="5" max="5" width="36" hidden="0" customWidth="1"/>
    <x:col min="6" max="6" width="12" hidden="0" customWidth="1"/>
    <x:col min="7" max="7" width="18" hidden="0" customWidth="1"/>
    <x:col min="8" max="8" width="16" hidden="0" customWidth="1"/>
    <x:col min="9" max="9" width="14" hidden="0" customWidth="1"/>
    <x:col min="10" max="10" width="14" hidden="0" customWidth="1"/>
    <x:col min="11" max="11" width="16" hidden="0" customWidth="1"/>
    <x:col min="12" max="12" width="14" hidden="0" customWidth="1"/>
    <x:col min="13" max="13" width="38" hidden="0" customWidth="1"/>
    <x:col min="14" max="14" width="38" hidden="0" customWidth="1"/>
    <x:col min="15" max="15" width="18" hidden="0" customWidth="1"/>
    <x:col min="16" max="16" width="14" hidden="0" customWidth="1"/>
    <x:col min="17" max="17" width="14" hidden="0" customWidth="1"/>
    <x:col min="18" max="18" width="16" hidden="0" customWidth="1"/>
    <x:col min="19" max="19" width="16" hidden="0" customWidth="1"/>
    <x:col min="20" max="20" width="14" hidden="0" customWidth="1"/>
    <x:col min="21" max="21" width="18" hidden="0" customWidth="1"/>
    <x:col min="22" max="22" width="18" hidden="0" customWidth="1"/>
    <x:col min="23" max="23" width="28" hidden="0" customWidth="1"/>
    <x:col min="24" max="24" width="34" hidden="0" customWidth="1"/>
    <x:col min="25" max="25" width="14" hidden="0" customWidth="1"/>
  </x:cols>
  <x:sheetData>
    <x:row r="1" ht="30" customHeight="1">
      <x:c r="A1" s="3" t="str">
        <x:v>审核员B｜前10条独立审核</x:v>
      </x:c>
      <x:c r="B1" s="3"/>
      <x:c r="C1" s="3"/>
      <x:c r="D1" s="3"/>
      <x:c r="E1" s="3"/>
      <x:c r="F1" s="3"/>
      <x:c r="G1" s="3"/>
      <x:c r="H1" s="3"/>
      <x:c r="I1" s="3"/>
      <x:c r="J1" s="3"/>
      <x:c r="K1" s="3"/>
      <x:c r="L1" s="3"/>
      <x:c r="M1" s="3"/>
      <x:c r="N1" s="3"/>
      <x:c r="O1" s="3"/>
      <x:c r="P1" s="3"/>
      <x:c r="Q1" s="3"/>
      <x:c r="R1" s="3"/>
      <x:c r="S1" s="3"/>
      <x:c r="T1" s="3"/>
      <x:c r="U1" s="3"/>
      <x:c r="V1" s="3"/>
      <x:c r="W1" s="3"/>
      <x:c r="X1" s="3"/>
      <x:c r="Y1" s="3"/>
    </x:row>
    <x:row r="2" ht="32" customHeight="1">
      <x:c r="A2" s="7" t="str">
        <x:v>只填写黄色区域。两位审核员先独立完成，不要提前互看；无法判断统一填写 unknown。</x:v>
      </x:c>
      <x:c r="B2" s="7"/>
      <x:c r="C2" s="7"/>
      <x:c r="D2" s="7"/>
      <x:c r="E2" s="7"/>
      <x:c r="F2" s="7"/>
      <x:c r="G2" s="7"/>
      <x:c r="H2" s="7"/>
      <x:c r="I2" s="7"/>
      <x:c r="J2" s="7"/>
      <x:c r="K2" s="7"/>
      <x:c r="L2" s="7"/>
      <x:c r="M2" s="7"/>
      <x:c r="N2" s="7"/>
      <x:c r="O2" s="7"/>
      <x:c r="P2" s="7"/>
      <x:c r="Q2" s="7"/>
      <x:c r="R2" s="7"/>
      <x:c r="S2" s="7"/>
      <x:c r="T2" s="7"/>
      <x:c r="U2" s="7"/>
      <x:c r="V2" s="7"/>
      <x:c r="W2" s="7"/>
      <x:c r="X2" s="7"/>
      <x:c r="Y2" s="7"/>
    </x:row>
    <x:row r="3">
      <x:c r="A3" s="16" t="str">
        <x:v>样本序号</x:v>
      </x:c>
      <x:c r="B3" s="17" t="str">
        <x:v>商品ID</x:v>
      </x:c>
      <x:c r="C3" s="17" t="str">
        <x:v>商品标题</x:v>
      </x:c>
      <x:c r="D3" s="17" t="str">
        <x:v>原始末级分类</x:v>
      </x:c>
      <x:c r="E3" s="17" t="str">
        <x:v>完整分类路径</x:v>
      </x:c>
      <x:c r="F3" s="17" t="str">
        <x:v>原始价格</x:v>
      </x:c>
      <x:c r="G3" s="17" t="str">
        <x:v>原始店铺</x:v>
      </x:c>
      <x:c r="H3" s="17" t="str">
        <x:v>原始适用人群</x:v>
      </x:c>
      <x:c r="I3" s="17" t="str">
        <x:v>原始颜色</x:v>
      </x:c>
      <x:c r="J3" s="17" t="str">
        <x:v>原始材质</x:v>
      </x:c>
      <x:c r="K3" s="17" t="str">
        <x:v>原始品牌</x:v>
      </x:c>
      <x:c r="L3" s="17" t="str">
        <x:v>原始尺码</x:v>
      </x:c>
      <x:c r="M3" s="17" t="str">
        <x:v>卖点摘要</x:v>
      </x:c>
      <x:c r="N3" s="18" t="str">
        <x:v>描述摘要</x:v>
      </x:c>
      <x:c r="O3" s="27" t="str">
        <x:v>审核分类</x:v>
      </x:c>
      <x:c r="P3" s="28" t="str">
        <x:v>适用人群</x:v>
      </x:c>
      <x:c r="Q3" s="28" t="str">
        <x:v>颜色</x:v>
      </x:c>
      <x:c r="R3" s="28" t="str">
        <x:v>材质</x:v>
      </x:c>
      <x:c r="S3" s="28" t="str">
        <x:v>品牌</x:v>
      </x:c>
      <x:c r="T3" s="28" t="str">
        <x:v>尺码</x:v>
      </x:c>
      <x:c r="U3" s="28" t="str">
        <x:v>使用场景</x:v>
      </x:c>
      <x:c r="V3" s="28" t="str">
        <x:v>商品功能</x:v>
      </x:c>
      <x:c r="W3" s="28" t="str">
        <x:v>数据问题</x:v>
      </x:c>
      <x:c r="X3" s="28" t="str">
        <x:v>审核备注</x:v>
      </x:c>
      <x:c r="Y3" s="29" t="str">
        <x:v>完成状态</x:v>
      </x:c>
    </x:row>
    <x:row r="4" ht="58" customHeight="1">
      <x:c r="A4" s="32" t="n">
        <x:v>1</x:v>
      </x:c>
      <x:c r="B4" s="32" t="str">
        <x:v>B082BGG9J5</x:v>
      </x:c>
      <x:c r="C4" s="32" t="str">
        <x:v>SpongeBob SquarePants Ladies Fashion Shirt Long Sleeve Tee</x:v>
      </x:c>
      <x:c r="D4" s="32" t="str">
        <x:v>T-Shirts</x:v>
      </x:c>
      <x:c r="E4" s="32" t="str">
        <x:v>Clothing, Shoes &amp; Jewelry &gt; Novelty &amp; More &gt; Clothing &gt; Novelty &gt; Women &gt; Tops &amp; Tees &gt; T-Shirts</x:v>
      </x:c>
      <x:c r="F4" s="32" t="str"/>
      <x:c r="G4" s="32" t="str">
        <x:v>SpongeBob SquarePants</x:v>
      </x:c>
      <x:c r="H4" s="32" t="str">
        <x:v>Womens</x:v>
      </x:c>
      <x:c r="I4" s="32" t="str"/>
      <x:c r="J4" s="32" t="str"/>
      <x:c r="K4" s="32" t="str"/>
      <x:c r="L4" s="32" t="str"/>
      <x:c r="M4" s="32" t="str">
        <x:v>100% Cotton Pull On closure Machine Wash ✔ SPONGEBOB SQUAREPANTS: Rep Spongebob, Gary, Patrick and the rest of the gang from Bikini Bottom. ✔ WHO LIVES IN A PINEAPPLE UNDER THE SEA?: Spongebob Squarepants. ✔ OFFICIALLY LICENSED SPONGEBOB SQ</x:v>
      </x:c>
      <x:c r="N4" s="32" t="str"/>
      <x:c r="O4" s="35" t="str"/>
      <x:c r="P4" s="35" t="str"/>
      <x:c r="Q4" s="35" t="str"/>
      <x:c r="R4" s="35" t="str"/>
      <x:c r="S4" s="35" t="str"/>
      <x:c r="T4" s="35" t="str"/>
      <x:c r="U4" s="35" t="str"/>
      <x:c r="V4" s="35" t="str"/>
      <x:c r="W4" s="35" t="str"/>
      <x:c r="X4" s="35" t="str"/>
      <x:c r="Y4" s="35" t="str">
        <x:v>未开始</x:v>
      </x:c>
    </x:row>
    <x:row r="5" ht="58" customHeight="1">
      <x:c r="A5" s="32" t="n">
        <x:v>2</x:v>
      </x:c>
      <x:c r="B5" s="32" t="str">
        <x:v>B0899B6JP7</x:v>
      </x:c>
      <x:c r="C5" s="32" t="str">
        <x:v>uncinba Womens Leopard Lips Print T Shirt Plus Size Kiss Alphabet Print Short Sleeve Loose Casual Fashion Tee Tops</x:v>
      </x:c>
      <x:c r="D5" s="32" t="str">
        <x:v>T-Shirts</x:v>
      </x:c>
      <x:c r="E5" s="32" t="str">
        <x:v>Clothing, Shoes &amp; Jewelry &gt; Women &gt; Clothing &gt; Tops, Tees &amp; Blouses &gt; T-Shirts</x:v>
      </x:c>
      <x:c r="F5" s="32" t="str"/>
      <x:c r="G5" s="32" t="str">
        <x:v>Uncinba</x:v>
      </x:c>
      <x:c r="H5" s="32" t="str">
        <x:v>Womens</x:v>
      </x:c>
      <x:c r="I5" s="32" t="str"/>
      <x:c r="J5" s="32" t="str"/>
      <x:c r="K5" s="32" t="str"/>
      <x:c r="L5" s="32" t="str"/>
      <x:c r="M5" s="32" t="str">
        <x:v>Drawstring closure</x:v>
      </x:c>
      <x:c r="N5" s="32" t="str"/>
      <x:c r="O5" s="35" t="str"/>
      <x:c r="P5" s="35" t="str"/>
      <x:c r="Q5" s="35" t="str"/>
      <x:c r="R5" s="35" t="str"/>
      <x:c r="S5" s="35" t="str"/>
      <x:c r="T5" s="35" t="str"/>
      <x:c r="U5" s="35" t="str"/>
      <x:c r="V5" s="35" t="str"/>
      <x:c r="W5" s="35" t="str"/>
      <x:c r="X5" s="35" t="str"/>
      <x:c r="Y5" s="35" t="str">
        <x:v>未开始</x:v>
      </x:c>
    </x:row>
    <x:row r="6" ht="58" customHeight="1">
      <x:c r="A6" s="32" t="n">
        <x:v>3</x:v>
      </x:c>
      <x:c r="B6" s="32" t="str">
        <x:v>B0BQLB26JY</x:v>
      </x:c>
      <x:c r="C6" s="32" t="str">
        <x:v>Men’s Workout Core Fit Long Sleeve Shirt, Athletic Bodybuilding Long Sleeve Shirt for Men, Running Core Fit Long Sleeve Shirt</x:v>
      </x:c>
      <x:c r="D6" s="32" t="str">
        <x:v>T-Shirts</x:v>
      </x:c>
      <x:c r="E6" s="32" t="str">
        <x:v>Clothing, Shoes &amp; Jewelry &gt; Men &gt; Clothing &gt; Active &gt; Active Shirts &amp; Tees &gt; T-Shirts</x:v>
      </x:c>
      <x:c r="F6" s="32" t="str">
        <x:v>29.99</x:v>
      </x:c>
      <x:c r="G6" s="32" t="str">
        <x:v>Born Tough</x:v>
      </x:c>
      <x:c r="H6" s="32" t="str">
        <x:v>Mens</x:v>
      </x:c>
      <x:c r="I6" s="32" t="str"/>
      <x:c r="J6" s="32" t="str"/>
      <x:c r="K6" s="32" t="str"/>
      <x:c r="L6" s="32" t="str"/>
      <x:c r="M6" s="32" t="str">
        <x:v>93 % Viscose 7% Spandex Imported Pull On closure Machine Wash [VISCOSE] - Born Tough Viscose Core Fit long-sleeve shirts for men are constructed from an original cloth made by Born Tough known as Swift fabric; Swift fabric is stitched toget</x:v>
      </x:c>
      <x:c r="N6" s="32" t="str"/>
      <x:c r="O6" s="35" t="str"/>
      <x:c r="P6" s="35" t="str"/>
      <x:c r="Q6" s="35" t="str"/>
      <x:c r="R6" s="35" t="str"/>
      <x:c r="S6" s="35" t="str"/>
      <x:c r="T6" s="35" t="str"/>
      <x:c r="U6" s="35" t="str"/>
      <x:c r="V6" s="35" t="str"/>
      <x:c r="W6" s="35" t="str"/>
      <x:c r="X6" s="35" t="str"/>
      <x:c r="Y6" s="35" t="str">
        <x:v>未开始</x:v>
      </x:c>
    </x:row>
    <x:row r="7" ht="58" customHeight="1">
      <x:c r="A7" s="32" t="n">
        <x:v>4</x:v>
      </x:c>
      <x:c r="B7" s="32" t="str">
        <x:v>B095BR27R2</x:v>
      </x:c>
      <x:c r="C7" s="32" t="str">
        <x:v>Pintraces Women's Short-Sleeved Shirt Round Neck Color-Blocking Printed Bouquet Waist Casual Button T-Shirt</x:v>
      </x:c>
      <x:c r="D7" s="32" t="str">
        <x:v>T-Shirts</x:v>
      </x:c>
      <x:c r="E7" s="32" t="str">
        <x:v>Clothing, Shoes &amp; Jewelry &gt; Women &gt; Clothing &gt; Tops, Tees &amp; Blouses &gt; T-Shirts</x:v>
      </x:c>
      <x:c r="F7" s="32" t="str">
        <x:v>21.99</x:v>
      </x:c>
      <x:c r="G7" s="32" t="str">
        <x:v>Pintraces</x:v>
      </x:c>
      <x:c r="H7" s="32" t="str">
        <x:v>Womens</x:v>
      </x:c>
      <x:c r="I7" s="32" t="str"/>
      <x:c r="J7" s="32" t="str"/>
      <x:c r="K7" s="32" t="str"/>
      <x:c r="L7" s="32" t="str"/>
      <x:c r="M7" s="32" t="str">
        <x:v>Polyester,Cotton Pull On closure Hand Wash Only Material composition: 65% cotton + 35% polyester fiber. Lightweight, breathable, soft and comfortable to wear Design features: this round neck long-sleeved basic top is printed with color-bloc</x:v>
      </x:c>
      <x:c r="N7" s="32" t="str"/>
      <x:c r="O7" s="35" t="str"/>
      <x:c r="P7" s="35" t="str"/>
      <x:c r="Q7" s="35" t="str"/>
      <x:c r="R7" s="35" t="str"/>
      <x:c r="S7" s="35" t="str"/>
      <x:c r="T7" s="35" t="str"/>
      <x:c r="U7" s="35" t="str"/>
      <x:c r="V7" s="35" t="str"/>
      <x:c r="W7" s="35" t="str"/>
      <x:c r="X7" s="35" t="str"/>
      <x:c r="Y7" s="35" t="str">
        <x:v>未开始</x:v>
      </x:c>
    </x:row>
    <x:row r="8" ht="58" customHeight="1">
      <x:c r="A8" s="32" t="n">
        <x:v>5</x:v>
      </x:c>
      <x:c r="B8" s="32" t="str">
        <x:v>B0B64QGKPT</x:v>
      </x:c>
      <x:c r="C8" s="32" t="str">
        <x:v>PUMA Men's Cat Tee</x:v>
      </x:c>
      <x:c r="D8" s="32" t="str">
        <x:v>T-Shirts</x:v>
      </x:c>
      <x:c r="E8" s="32" t="str">
        <x:v>Clothing, Shoes &amp; Jewelry &gt; Men &gt; Clothing &gt; Shirts &gt; T-Shirts</x:v>
      </x:c>
      <x:c r="F8" s="32" t="str"/>
      <x:c r="G8" s="32" t="str">
        <x:v>PUMA</x:v>
      </x:c>
      <x:c r="H8" s="32" t="str">
        <x:v>Mens</x:v>
      </x:c>
      <x:c r="I8" s="32" t="str"/>
      <x:c r="J8" s="32" t="str"/>
      <x:c r="K8" s="32" t="str">
        <x:v>PUMA</x:v>
      </x:c>
      <x:c r="L8" s="32" t="str"/>
      <x:c r="M8" s="32" t="str">
        <x:v>100% Polyester Imported No Closure closure Machine Wash</x:v>
      </x:c>
      <x:c r="N8" s="32" t="str">
        <x:v>Built from a lightweight, breathable jersey material the PUMA Heather Cat Tee features our signature dryCELL moisture wicking technology, an extended drop hem and side vents to help you make the most out of all your training activities.</x:v>
      </x:c>
      <x:c r="O8" s="35" t="str"/>
      <x:c r="P8" s="35" t="str"/>
      <x:c r="Q8" s="35" t="str"/>
      <x:c r="R8" s="35" t="str"/>
      <x:c r="S8" s="35" t="str"/>
      <x:c r="T8" s="35" t="str"/>
      <x:c r="U8" s="35" t="str"/>
      <x:c r="V8" s="35" t="str"/>
      <x:c r="W8" s="35" t="str"/>
      <x:c r="X8" s="35" t="str"/>
      <x:c r="Y8" s="35" t="str">
        <x:v>未开始</x:v>
      </x:c>
    </x:row>
    <x:row r="9" ht="58" customHeight="1">
      <x:c r="A9" s="32" t="n">
        <x:v>6</x:v>
      </x:c>
      <x:c r="B9" s="32" t="str">
        <x:v>B00SBEOLHU</x:v>
      </x:c>
      <x:c r="C9" s="32" t="str">
        <x:v>Dr. Martens Women's Anissa Embroidered 14-Eye Zip Boot Black Softy 8 UK</x:v>
      </x:c>
      <x:c r="D9" s="32" t="str">
        <x:v>Shoes</x:v>
      </x:c>
      <x:c r="E9" s="32" t="str">
        <x:v>Clothing, Shoes &amp; Jewelry &gt; Women &gt; Shoes</x:v>
      </x:c>
      <x:c r="F9" s="32" t="str"/>
      <x:c r="G9" s="32" t="str">
        <x:v>Dr. Martens</x:v>
      </x:c>
      <x:c r="H9" s="32" t="str"/>
      <x:c r="I9" s="32" t="str"/>
      <x:c r="J9" s="32" t="str"/>
      <x:c r="K9" s="32" t="str"/>
      <x:c r="L9" s="32" t="str"/>
      <x:c r="M9" s="32" t="str">
        <x:v>Rubber sole</x:v>
      </x:c>
      <x:c r="N9" s="32" t="str"/>
      <x:c r="O9" s="35" t="str"/>
      <x:c r="P9" s="35" t="str"/>
      <x:c r="Q9" s="35" t="str"/>
      <x:c r="R9" s="35" t="str"/>
      <x:c r="S9" s="35" t="str"/>
      <x:c r="T9" s="35" t="str"/>
      <x:c r="U9" s="35" t="str"/>
      <x:c r="V9" s="35" t="str"/>
      <x:c r="W9" s="35" t="str"/>
      <x:c r="X9" s="35" t="str"/>
      <x:c r="Y9" s="35" t="str">
        <x:v>未开始</x:v>
      </x:c>
    </x:row>
    <x:row r="10" ht="58" customHeight="1">
      <x:c r="A10" s="32" t="n">
        <x:v>7</x:v>
      </x:c>
      <x:c r="B10" s="32" t="str">
        <x:v>B0058XF84W</x:v>
      </x:c>
      <x:c r="C10" s="32" t="str">
        <x:v>Ryka Women's Dash,Metallic Lake Blue/Chrome Silver/Steel Grey/White,US 5.5 M</x:v>
      </x:c>
      <x:c r="D10" s="32" t="str">
        <x:v>Shoes</x:v>
      </x:c>
      <x:c r="E10" s="32" t="str">
        <x:v>Clothing, Shoes &amp; Jewelry &gt; Women &gt; Shoes</x:v>
      </x:c>
      <x:c r="F10" s="32" t="str"/>
      <x:c r="G10" s="32" t="str">
        <x:v>Ryka</x:v>
      </x:c>
      <x:c r="H10" s="32" t="str"/>
      <x:c r="I10" s="32" t="str"/>
      <x:c r="J10" s="32" t="str"/>
      <x:c r="K10" s="32" t="str"/>
      <x:c r="L10" s="32" t="str"/>
      <x:c r="M10" s="32" t="str"/>
      <x:c r="N10" s="32" t="str"/>
      <x:c r="O10" s="35" t="str"/>
      <x:c r="P10" s="35" t="str"/>
      <x:c r="Q10" s="35" t="str"/>
      <x:c r="R10" s="35" t="str"/>
      <x:c r="S10" s="35" t="str"/>
      <x:c r="T10" s="35" t="str"/>
      <x:c r="U10" s="35" t="str"/>
      <x:c r="V10" s="35" t="str"/>
      <x:c r="W10" s="35" t="str"/>
      <x:c r="X10" s="35" t="str"/>
      <x:c r="Y10" s="35" t="str">
        <x:v>未开始</x:v>
      </x:c>
    </x:row>
    <x:row r="11" ht="58" customHeight="1">
      <x:c r="A11" s="32" t="n">
        <x:v>8</x:v>
      </x:c>
      <x:c r="B11" s="32" t="str">
        <x:v>B005GO4FOW</x:v>
      </x:c>
      <x:c r="C11" s="32" t="str">
        <x:v>Dr. Martens Naseby ST Work Boot</x:v>
      </x:c>
      <x:c r="D11" s="32" t="str">
        <x:v>Shoes</x:v>
      </x:c>
      <x:c r="E11" s="32" t="str">
        <x:v>Clothing, Shoes &amp; Jewelry &gt; Men &gt; Uniforms, Work &amp; Safety &gt; Shoes &gt; Work &amp; Utility &gt; Shoes</x:v>
      </x:c>
      <x:c r="F11" s="32" t="str"/>
      <x:c r="G11" s="32" t="str">
        <x:v>Dr. Martens</x:v>
      </x:c>
      <x:c r="H11" s="32" t="str">
        <x:v>womens</x:v>
      </x:c>
      <x:c r="I11" s="32" t="str"/>
      <x:c r="J11" s="32" t="str"/>
      <x:c r="K11" s="32" t="str">
        <x:v>Dr. Martens</x:v>
      </x:c>
      <x:c r="L11" s="32" t="str"/>
      <x:c r="M11" s="32" t="str">
        <x:v>100% Leather Imported Manmade sole Heel measures approximately 1.5" Leather upper PVC outsole 3/4" Fabric R14125001, R14125202</x:v>
      </x:c>
      <x:c r="N11" s="32" t="str">
        <x:v>Dr. Martens is the stuff of legends. It all began near Munich, Germany in 1945 when Dr. Klaus Maertens injured his foot in a skiing accident in the Bavarian Alps. To make walking easier during the healing process, he designed a shoe with an</x:v>
      </x:c>
      <x:c r="O11" s="35" t="str"/>
      <x:c r="P11" s="35" t="str"/>
      <x:c r="Q11" s="35" t="str"/>
      <x:c r="R11" s="35" t="str"/>
      <x:c r="S11" s="35" t="str"/>
      <x:c r="T11" s="35" t="str"/>
      <x:c r="U11" s="35" t="str"/>
      <x:c r="V11" s="35" t="str"/>
      <x:c r="W11" s="35" t="str"/>
      <x:c r="X11" s="35" t="str"/>
      <x:c r="Y11" s="35" t="str">
        <x:v>未开始</x:v>
      </x:c>
    </x:row>
    <x:row r="12" ht="58" customHeight="1">
      <x:c r="A12" s="32" t="n">
        <x:v>9</x:v>
      </x:c>
      <x:c r="B12" s="32" t="str">
        <x:v>B07GLN2JG3</x:v>
      </x:c>
      <x:c r="C12" s="32" t="str">
        <x:v>JACKSHIBO Steel Toe Work Shoes for Men Women Safety Shoes Breathable Industrial Construction Shoes Camouflage Green</x:v>
      </x:c>
      <x:c r="D12" s="32" t="str">
        <x:v>Shoes</x:v>
      </x:c>
      <x:c r="E12" s="32" t="str">
        <x:v>Clothing, Shoes &amp; Jewelry &gt; Men &gt; Uniforms, Work &amp; Safety &gt; Shoes &gt; Work &amp; Utility &gt; Shoes</x:v>
      </x:c>
      <x:c r="F12" s="32" t="str"/>
      <x:c r="G12" s="32" t="str">
        <x:v>JACKSHIBO</x:v>
      </x:c>
      <x:c r="H12" s="32" t="str">
        <x:v>Mens</x:v>
      </x:c>
      <x:c r="I12" s="32" t="str"/>
      <x:c r="J12" s="32" t="str"/>
      <x:c r="K12" s="32" t="str"/>
      <x:c r="L12" s="32" t="str"/>
      <x:c r="M12" s="32" t="str">
        <x:v>Rubber sole</x:v>
      </x:c>
      <x:c r="N12" s="32" t="str"/>
      <x:c r="O12" s="35" t="str"/>
      <x:c r="P12" s="35" t="str"/>
      <x:c r="Q12" s="35" t="str"/>
      <x:c r="R12" s="35" t="str"/>
      <x:c r="S12" s="35" t="str"/>
      <x:c r="T12" s="35" t="str"/>
      <x:c r="U12" s="35" t="str"/>
      <x:c r="V12" s="35" t="str"/>
      <x:c r="W12" s="35" t="str"/>
      <x:c r="X12" s="35" t="str"/>
      <x:c r="Y12" s="35" t="str">
        <x:v>未开始</x:v>
      </x:c>
    </x:row>
    <x:row r="13" ht="58" customHeight="1">
      <x:c r="A13" s="32" t="n">
        <x:v>10</x:v>
      </x:c>
      <x:c r="B13" s="32" t="str">
        <x:v>B0798NPXXZ</x:v>
      </x:c>
      <x:c r="C13" s="32" t="str">
        <x:v>FITORY Men's Flip-Flop Thong Sandals Light Weight Beach Slippers Size 7-13 Brown</x:v>
      </x:c>
      <x:c r="D13" s="32" t="str">
        <x:v>Shoes</x:v>
      </x:c>
      <x:c r="E13" s="32" t="str">
        <x:v>Clothing, Shoes &amp; Jewelry &gt; Men &gt; Shoes</x:v>
      </x:c>
      <x:c r="F13" s="32" t="str"/>
      <x:c r="G13" s="32" t="str">
        <x:v>FITORY</x:v>
      </x:c>
      <x:c r="H13" s="32" t="str"/>
      <x:c r="I13" s="32" t="str"/>
      <x:c r="J13" s="32" t="str"/>
      <x:c r="K13" s="32" t="str"/>
      <x:c r="L13" s="32" t="str"/>
      <x:c r="M13" s="32" t="str">
        <x:v>Rubber sole</x:v>
      </x:c>
      <x:c r="N13" s="32" t="str"/>
      <x:c r="O13" s="35" t="str"/>
      <x:c r="P13" s="35" t="str"/>
      <x:c r="Q13" s="35" t="str"/>
      <x:c r="R13" s="35" t="str"/>
      <x:c r="S13" s="35" t="str"/>
      <x:c r="T13" s="35" t="str"/>
      <x:c r="U13" s="35" t="str"/>
      <x:c r="V13" s="35" t="str"/>
      <x:c r="W13" s="35" t="str"/>
      <x:c r="X13" s="35" t="str"/>
      <x:c r="Y13" s="35" t="str">
        <x:v>未开始</x:v>
      </x:c>
    </x:row>
  </x:sheetData>
  <x:mergeCells>
    <x:mergeCell ref="A1:Y1"/>
    <x:mergeCell ref="A2:Y2"/>
  </x:mergeCells>
  <x:conditionalFormatting sqref="Y4:Y13">
    <x:cfRule type="containsText" dxfId="2" priority="1" operator="containsText" text="已完成"/>
    <x:cfRule type="containsText" dxfId="3" priority="2" operator="containsText" text="需讨论"/>
  </x:conditionalFormatting>
  <x:dataValidations count="2">
    <x:dataValidation type="list" sqref="P4:P13">
      <x:formula1>"women,men,unisex,kids,unknown"</x:formula1>
    </x:dataValidation>
    <x:dataValidation type="list" sqref="Y4:Y13">
      <x:formula1>"未开始,审核中,已完成,需讨论"</x:formula1>
    </x:dataValidation>
  </x:dataValidations>
  <x:pageMargins left="0.7" right="0.7" top="0.75" bottom="0.75" header="0.3" footer="0.3"/>
  <x:tableParts count="1">
    <x:tablePart xmlns:r="http://schemas.openxmlformats.org/officeDocument/2006/relationships" r:id="R1454cc30575b4de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15" hidden="0" customWidth="1"/>
    <x:col min="3" max="3" width="38"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28" hidden="0" customWidth="1"/>
    <x:col min="16" max="16" width="34" hidden="0" customWidth="1"/>
  </x:cols>
  <x:sheetData>
    <x:row r="1" ht="30" customHeight="1">
      <x:c r="A1" s="3" t="str">
        <x:v>前10条分歧汇总</x:v>
      </x:c>
      <x:c r="B1" s="3"/>
      <x:c r="C1" s="3"/>
      <x:c r="D1" s="3"/>
      <x:c r="E1" s="3"/>
      <x:c r="F1" s="3"/>
      <x:c r="G1" s="3"/>
      <x:c r="H1" s="3"/>
      <x:c r="I1" s="3"/>
      <x:c r="J1" s="3"/>
      <x:c r="K1" s="3"/>
      <x:c r="L1" s="3"/>
      <x:c r="M1" s="3"/>
      <x:c r="N1" s="3"/>
      <x:c r="O1" s="3"/>
      <x:c r="P1" s="3"/>
    </x:row>
    <x:row r="2" ht="32" customHeight="1">
      <x:c r="A2" s="7" t="str">
        <x:v>本页自动比较两位审核员的答案；红色“需讨论”项目需要共同决定，最终结论填写在最后两列。</x:v>
      </x:c>
      <x:c r="B2" s="7"/>
      <x:c r="C2" s="7"/>
      <x:c r="D2" s="7"/>
      <x:c r="E2" s="7"/>
      <x:c r="F2" s="7"/>
      <x:c r="G2" s="7"/>
      <x:c r="H2" s="7"/>
      <x:c r="I2" s="7"/>
      <x:c r="J2" s="7"/>
      <x:c r="K2" s="7"/>
      <x:c r="L2" s="7"/>
      <x:c r="M2" s="7"/>
      <x:c r="N2" s="7"/>
      <x:c r="O2" s="7"/>
      <x:c r="P2" s="7"/>
    </x:row>
    <x:row r="3">
      <x:c r="A3" s="38" t="str">
        <x:v>样本序号</x:v>
      </x:c>
      <x:c r="B3" s="38" t="str">
        <x:v>商品ID</x:v>
      </x:c>
      <x:c r="C3" s="38" t="str">
        <x:v>商品标题</x:v>
      </x:c>
      <x:c r="D3" s="38" t="str">
        <x:v>分类</x:v>
      </x:c>
      <x:c r="E3" s="38" t="str">
        <x:v>适用人群</x:v>
      </x:c>
      <x:c r="F3" s="38" t="str">
        <x:v>颜色</x:v>
      </x:c>
      <x:c r="G3" s="38" t="str">
        <x:v>材质</x:v>
      </x:c>
      <x:c r="H3" s="38" t="str">
        <x:v>品牌</x:v>
      </x:c>
      <x:c r="I3" s="38" t="str">
        <x:v>尺码</x:v>
      </x:c>
      <x:c r="J3" s="38" t="str">
        <x:v>使用场景</x:v>
      </x:c>
      <x:c r="K3" s="38" t="str">
        <x:v>商品功能</x:v>
      </x:c>
      <x:c r="L3" s="38" t="str">
        <x:v>数据问题</x:v>
      </x:c>
      <x:c r="M3" s="38" t="str">
        <x:v>分歧数量</x:v>
      </x:c>
      <x:c r="N3" s="38" t="str">
        <x:v>对比状态</x:v>
      </x:c>
      <x:c r="O3" s="40" t="str">
        <x:v>最终结论</x:v>
      </x:c>
      <x:c r="P3" s="40" t="str">
        <x:v>处理备注</x:v>
      </x:c>
    </x:row>
    <x:row r="4" ht="42" customHeight="1">
      <x:c r="A4" s="42" t="n">
        <x:f>'审核员A_前10'!A4</x:f>
        <x:v>1</x:v>
      </x:c>
      <x:c r="B4" s="42" t="str">
        <x:f>'审核员A_前10'!B4</x:f>
        <x:v>B082BGG9J5</x:v>
      </x:c>
      <x:c r="C4" s="42" t="str">
        <x:f>'审核员A_前10'!C4</x:f>
        <x:v>SpongeBob SquarePants Ladies Fashion Shirt Long Sleeve Tee</x:v>
      </x:c>
      <x:c r="D4" s="42" t="str">
        <x:f>IF(OR('审核员A_前10'!$Y4&lt;&gt;"已完成",'审核员B_前10'!$Y4&lt;&gt;"已完成"),"待完成",IF('审核员A_前10'!O4='审核员B_前10'!O4,"一致","不一致"))</x:f>
        <x:v>待完成</x:v>
      </x:c>
      <x:c r="E4" s="42" t="str">
        <x:f>IF(OR('审核员A_前10'!$Y4&lt;&gt;"已完成",'审核员B_前10'!$Y4&lt;&gt;"已完成"),"待完成",IF('审核员A_前10'!P4='审核员B_前10'!P4,"一致","不一致"))</x:f>
        <x:v>待完成</x:v>
      </x:c>
      <x:c r="F4" s="42" t="str">
        <x:f>IF(OR('审核员A_前10'!$Y4&lt;&gt;"已完成",'审核员B_前10'!$Y4&lt;&gt;"已完成"),"待完成",IF('审核员A_前10'!Q4='审核员B_前10'!Q4,"一致","不一致"))</x:f>
        <x:v>待完成</x:v>
      </x:c>
      <x:c r="G4" s="42" t="str">
        <x:f>IF(OR('审核员A_前10'!$Y4&lt;&gt;"已完成",'审核员B_前10'!$Y4&lt;&gt;"已完成"),"待完成",IF('审核员A_前10'!R4='审核员B_前10'!R4,"一致","不一致"))</x:f>
        <x:v>待完成</x:v>
      </x:c>
      <x:c r="H4" s="42" t="str">
        <x:f>IF(OR('审核员A_前10'!$Y4&lt;&gt;"已完成",'审核员B_前10'!$Y4&lt;&gt;"已完成"),"待完成",IF('审核员A_前10'!S4='审核员B_前10'!S4,"一致","不一致"))</x:f>
        <x:v>待完成</x:v>
      </x:c>
      <x:c r="I4" s="42" t="str">
        <x:f>IF(OR('审核员A_前10'!$Y4&lt;&gt;"已完成",'审核员B_前10'!$Y4&lt;&gt;"已完成"),"待完成",IF('审核员A_前10'!T4='审核员B_前10'!T4,"一致","不一致"))</x:f>
        <x:v>待完成</x:v>
      </x:c>
      <x:c r="J4" s="42" t="str">
        <x:f>IF(OR('审核员A_前10'!$Y4&lt;&gt;"已完成",'审核员B_前10'!$Y4&lt;&gt;"已完成"),"待完成",IF('审核员A_前10'!U4='审核员B_前10'!U4,"一致","不一致"))</x:f>
        <x:v>待完成</x:v>
      </x:c>
      <x:c r="K4" s="42" t="str">
        <x:f>IF(OR('审核员A_前10'!$Y4&lt;&gt;"已完成",'审核员B_前10'!$Y4&lt;&gt;"已完成"),"待完成",IF('审核员A_前10'!V4='审核员B_前10'!V4,"一致","不一致"))</x:f>
        <x:v>待完成</x:v>
      </x:c>
      <x:c r="L4" s="42" t="str">
        <x:f>IF(OR('审核员A_前10'!$Y4&lt;&gt;"已完成",'审核员B_前10'!$Y4&lt;&gt;"已完成"),"待完成",IF('审核员A_前10'!W4='审核员B_前10'!W4,"一致","不一致"))</x:f>
        <x:v>待完成</x:v>
      </x:c>
      <x:c r="M4" s="42" t="n">
        <x:f>COUNTIF(D4:L4,"不一致")</x:f>
        <x:v>0</x:v>
      </x:c>
      <x:c r="N4" s="42" t="str">
        <x:f>IF(OR('审核员A_前10'!$Y4&lt;&gt;"已完成",'审核员B_前10'!$Y4&lt;&gt;"已完成"),"待完成",IF(M4=0,"一致","需讨论"))</x:f>
        <x:v>待完成</x:v>
      </x:c>
      <x:c r="O4" s="43"/>
      <x:c r="P4" s="43"/>
    </x:row>
    <x:row r="5" ht="42" customHeight="1">
      <x:c r="A5" s="42" t="n">
        <x:f>'审核员A_前10'!A5</x:f>
        <x:v>2</x:v>
      </x:c>
      <x:c r="B5" s="42" t="str">
        <x:f>'审核员A_前10'!B5</x:f>
        <x:v>B0899B6JP7</x:v>
      </x:c>
      <x:c r="C5" s="42" t="str">
        <x:f>'审核员A_前10'!C5</x:f>
        <x:v>uncinba Womens Leopard Lips Print T Shirt Plus Size Kiss Alphabet Print Short Sleeve Loose Casual Fashion Tee Tops</x:v>
      </x:c>
      <x:c r="D5" s="42" t="str">
        <x:f>IF(OR('审核员A_前10'!$Y5&lt;&gt;"已完成",'审核员B_前10'!$Y5&lt;&gt;"已完成"),"待完成",IF('审核员A_前10'!O5='审核员B_前10'!O5,"一致","不一致"))</x:f>
        <x:v>待完成</x:v>
      </x:c>
      <x:c r="E5" s="42" t="str">
        <x:f>IF(OR('审核员A_前10'!$Y5&lt;&gt;"已完成",'审核员B_前10'!$Y5&lt;&gt;"已完成"),"待完成",IF('审核员A_前10'!P5='审核员B_前10'!P5,"一致","不一致"))</x:f>
        <x:v>待完成</x:v>
      </x:c>
      <x:c r="F5" s="42" t="str">
        <x:f>IF(OR('审核员A_前10'!$Y5&lt;&gt;"已完成",'审核员B_前10'!$Y5&lt;&gt;"已完成"),"待完成",IF('审核员A_前10'!Q5='审核员B_前10'!Q5,"一致","不一致"))</x:f>
        <x:v>待完成</x:v>
      </x:c>
      <x:c r="G5" s="42" t="str">
        <x:f>IF(OR('审核员A_前10'!$Y5&lt;&gt;"已完成",'审核员B_前10'!$Y5&lt;&gt;"已完成"),"待完成",IF('审核员A_前10'!R5='审核员B_前10'!R5,"一致","不一致"))</x:f>
        <x:v>待完成</x:v>
      </x:c>
      <x:c r="H5" s="42" t="str">
        <x:f>IF(OR('审核员A_前10'!$Y5&lt;&gt;"已完成",'审核员B_前10'!$Y5&lt;&gt;"已完成"),"待完成",IF('审核员A_前10'!S5='审核员B_前10'!S5,"一致","不一致"))</x:f>
        <x:v>待完成</x:v>
      </x:c>
      <x:c r="I5" s="42" t="str">
        <x:f>IF(OR('审核员A_前10'!$Y5&lt;&gt;"已完成",'审核员B_前10'!$Y5&lt;&gt;"已完成"),"待完成",IF('审核员A_前10'!T5='审核员B_前10'!T5,"一致","不一致"))</x:f>
        <x:v>待完成</x:v>
      </x:c>
      <x:c r="J5" s="42" t="str">
        <x:f>IF(OR('审核员A_前10'!$Y5&lt;&gt;"已完成",'审核员B_前10'!$Y5&lt;&gt;"已完成"),"待完成",IF('审核员A_前10'!U5='审核员B_前10'!U5,"一致","不一致"))</x:f>
        <x:v>待完成</x:v>
      </x:c>
      <x:c r="K5" s="42" t="str">
        <x:f>IF(OR('审核员A_前10'!$Y5&lt;&gt;"已完成",'审核员B_前10'!$Y5&lt;&gt;"已完成"),"待完成",IF('审核员A_前10'!V5='审核员B_前10'!V5,"一致","不一致"))</x:f>
        <x:v>待完成</x:v>
      </x:c>
      <x:c r="L5" s="42" t="str">
        <x:f>IF(OR('审核员A_前10'!$Y5&lt;&gt;"已完成",'审核员B_前10'!$Y5&lt;&gt;"已完成"),"待完成",IF('审核员A_前10'!W5='审核员B_前10'!W5,"一致","不一致"))</x:f>
        <x:v>待完成</x:v>
      </x:c>
      <x:c r="M5" s="42" t="n">
        <x:f>COUNTIF(D5:L5,"不一致")</x:f>
        <x:v>0</x:v>
      </x:c>
      <x:c r="N5" s="42" t="str">
        <x:f>IF(OR('审核员A_前10'!$Y5&lt;&gt;"已完成",'审核员B_前10'!$Y5&lt;&gt;"已完成"),"待完成",IF(M5=0,"一致","需讨论"))</x:f>
        <x:v>待完成</x:v>
      </x:c>
      <x:c r="O5" s="43"/>
      <x:c r="P5" s="43"/>
    </x:row>
    <x:row r="6" ht="42" customHeight="1">
      <x:c r="A6" s="42" t="n">
        <x:f>'审核员A_前10'!A6</x:f>
        <x:v>3</x:v>
      </x:c>
      <x:c r="B6" s="42" t="str">
        <x:f>'审核员A_前10'!B6</x:f>
        <x:v>B0BQLB26JY</x:v>
      </x:c>
      <x:c r="C6" s="42" t="str">
        <x:f>'审核员A_前10'!C6</x:f>
        <x:v>Men’s Workout Core Fit Long Sleeve Shirt, Athletic Bodybuilding Long Sleeve Shirt for Men, Running Core Fit Long Sleeve Shirt</x:v>
      </x:c>
      <x:c r="D6" s="42" t="str">
        <x:f>IF(OR('审核员A_前10'!$Y6&lt;&gt;"已完成",'审核员B_前10'!$Y6&lt;&gt;"已完成"),"待完成",IF('审核员A_前10'!O6='审核员B_前10'!O6,"一致","不一致"))</x:f>
        <x:v>待完成</x:v>
      </x:c>
      <x:c r="E6" s="42" t="str">
        <x:f>IF(OR('审核员A_前10'!$Y6&lt;&gt;"已完成",'审核员B_前10'!$Y6&lt;&gt;"已完成"),"待完成",IF('审核员A_前10'!P6='审核员B_前10'!P6,"一致","不一致"))</x:f>
        <x:v>待完成</x:v>
      </x:c>
      <x:c r="F6" s="42" t="str">
        <x:f>IF(OR('审核员A_前10'!$Y6&lt;&gt;"已完成",'审核员B_前10'!$Y6&lt;&gt;"已完成"),"待完成",IF('审核员A_前10'!Q6='审核员B_前10'!Q6,"一致","不一致"))</x:f>
        <x:v>待完成</x:v>
      </x:c>
      <x:c r="G6" s="42" t="str">
        <x:f>IF(OR('审核员A_前10'!$Y6&lt;&gt;"已完成",'审核员B_前10'!$Y6&lt;&gt;"已完成"),"待完成",IF('审核员A_前10'!R6='审核员B_前10'!R6,"一致","不一致"))</x:f>
        <x:v>待完成</x:v>
      </x:c>
      <x:c r="H6" s="42" t="str">
        <x:f>IF(OR('审核员A_前10'!$Y6&lt;&gt;"已完成",'审核员B_前10'!$Y6&lt;&gt;"已完成"),"待完成",IF('审核员A_前10'!S6='审核员B_前10'!S6,"一致","不一致"))</x:f>
        <x:v>待完成</x:v>
      </x:c>
      <x:c r="I6" s="42" t="str">
        <x:f>IF(OR('审核员A_前10'!$Y6&lt;&gt;"已完成",'审核员B_前10'!$Y6&lt;&gt;"已完成"),"待完成",IF('审核员A_前10'!T6='审核员B_前10'!T6,"一致","不一致"))</x:f>
        <x:v>待完成</x:v>
      </x:c>
      <x:c r="J6" s="42" t="str">
        <x:f>IF(OR('审核员A_前10'!$Y6&lt;&gt;"已完成",'审核员B_前10'!$Y6&lt;&gt;"已完成"),"待完成",IF('审核员A_前10'!U6='审核员B_前10'!U6,"一致","不一致"))</x:f>
        <x:v>待完成</x:v>
      </x:c>
      <x:c r="K6" s="42" t="str">
        <x:f>IF(OR('审核员A_前10'!$Y6&lt;&gt;"已完成",'审核员B_前10'!$Y6&lt;&gt;"已完成"),"待完成",IF('审核员A_前10'!V6='审核员B_前10'!V6,"一致","不一致"))</x:f>
        <x:v>待完成</x:v>
      </x:c>
      <x:c r="L6" s="42" t="str">
        <x:f>IF(OR('审核员A_前10'!$Y6&lt;&gt;"已完成",'审核员B_前10'!$Y6&lt;&gt;"已完成"),"待完成",IF('审核员A_前10'!W6='审核员B_前10'!W6,"一致","不一致"))</x:f>
        <x:v>待完成</x:v>
      </x:c>
      <x:c r="M6" s="42" t="n">
        <x:f>COUNTIF(D6:L6,"不一致")</x:f>
        <x:v>0</x:v>
      </x:c>
      <x:c r="N6" s="42" t="str">
        <x:f>IF(OR('审核员A_前10'!$Y6&lt;&gt;"已完成",'审核员B_前10'!$Y6&lt;&gt;"已完成"),"待完成",IF(M6=0,"一致","需讨论"))</x:f>
        <x:v>待完成</x:v>
      </x:c>
      <x:c r="O6" s="43"/>
      <x:c r="P6" s="43"/>
    </x:row>
    <x:row r="7" ht="42" customHeight="1">
      <x:c r="A7" s="42" t="n">
        <x:f>'审核员A_前10'!A7</x:f>
        <x:v>4</x:v>
      </x:c>
      <x:c r="B7" s="42" t="str">
        <x:f>'审核员A_前10'!B7</x:f>
        <x:v>B095BR27R2</x:v>
      </x:c>
      <x:c r="C7" s="42" t="str">
        <x:f>'审核员A_前10'!C7</x:f>
        <x:v>Pintraces Women's Short-Sleeved Shirt Round Neck Color-Blocking Printed Bouquet Waist Casual Button T-Shirt</x:v>
      </x:c>
      <x:c r="D7" s="42" t="str">
        <x:f>IF(OR('审核员A_前10'!$Y7&lt;&gt;"已完成",'审核员B_前10'!$Y7&lt;&gt;"已完成"),"待完成",IF('审核员A_前10'!O7='审核员B_前10'!O7,"一致","不一致"))</x:f>
        <x:v>待完成</x:v>
      </x:c>
      <x:c r="E7" s="42" t="str">
        <x:f>IF(OR('审核员A_前10'!$Y7&lt;&gt;"已完成",'审核员B_前10'!$Y7&lt;&gt;"已完成"),"待完成",IF('审核员A_前10'!P7='审核员B_前10'!P7,"一致","不一致"))</x:f>
        <x:v>待完成</x:v>
      </x:c>
      <x:c r="F7" s="42" t="str">
        <x:f>IF(OR('审核员A_前10'!$Y7&lt;&gt;"已完成",'审核员B_前10'!$Y7&lt;&gt;"已完成"),"待完成",IF('审核员A_前10'!Q7='审核员B_前10'!Q7,"一致","不一致"))</x:f>
        <x:v>待完成</x:v>
      </x:c>
      <x:c r="G7" s="42" t="str">
        <x:f>IF(OR('审核员A_前10'!$Y7&lt;&gt;"已完成",'审核员B_前10'!$Y7&lt;&gt;"已完成"),"待完成",IF('审核员A_前10'!R7='审核员B_前10'!R7,"一致","不一致"))</x:f>
        <x:v>待完成</x:v>
      </x:c>
      <x:c r="H7" s="42" t="str">
        <x:f>IF(OR('审核员A_前10'!$Y7&lt;&gt;"已完成",'审核员B_前10'!$Y7&lt;&gt;"已完成"),"待完成",IF('审核员A_前10'!S7='审核员B_前10'!S7,"一致","不一致"))</x:f>
        <x:v>待完成</x:v>
      </x:c>
      <x:c r="I7" s="42" t="str">
        <x:f>IF(OR('审核员A_前10'!$Y7&lt;&gt;"已完成",'审核员B_前10'!$Y7&lt;&gt;"已完成"),"待完成",IF('审核员A_前10'!T7='审核员B_前10'!T7,"一致","不一致"))</x:f>
        <x:v>待完成</x:v>
      </x:c>
      <x:c r="J7" s="42" t="str">
        <x:f>IF(OR('审核员A_前10'!$Y7&lt;&gt;"已完成",'审核员B_前10'!$Y7&lt;&gt;"已完成"),"待完成",IF('审核员A_前10'!U7='审核员B_前10'!U7,"一致","不一致"))</x:f>
        <x:v>待完成</x:v>
      </x:c>
      <x:c r="K7" s="42" t="str">
        <x:f>IF(OR('审核员A_前10'!$Y7&lt;&gt;"已完成",'审核员B_前10'!$Y7&lt;&gt;"已完成"),"待完成",IF('审核员A_前10'!V7='审核员B_前10'!V7,"一致","不一致"))</x:f>
        <x:v>待完成</x:v>
      </x:c>
      <x:c r="L7" s="42" t="str">
        <x:f>IF(OR('审核员A_前10'!$Y7&lt;&gt;"已完成",'审核员B_前10'!$Y7&lt;&gt;"已完成"),"待完成",IF('审核员A_前10'!W7='审核员B_前10'!W7,"一致","不一致"))</x:f>
        <x:v>待完成</x:v>
      </x:c>
      <x:c r="M7" s="42" t="n">
        <x:f>COUNTIF(D7:L7,"不一致")</x:f>
        <x:v>0</x:v>
      </x:c>
      <x:c r="N7" s="42" t="str">
        <x:f>IF(OR('审核员A_前10'!$Y7&lt;&gt;"已完成",'审核员B_前10'!$Y7&lt;&gt;"已完成"),"待完成",IF(M7=0,"一致","需讨论"))</x:f>
        <x:v>待完成</x:v>
      </x:c>
      <x:c r="O7" s="43"/>
      <x:c r="P7" s="43"/>
    </x:row>
    <x:row r="8" ht="42" customHeight="1">
      <x:c r="A8" s="42" t="n">
        <x:f>'审核员A_前10'!A8</x:f>
        <x:v>5</x:v>
      </x:c>
      <x:c r="B8" s="42" t="str">
        <x:f>'审核员A_前10'!B8</x:f>
        <x:v>B0B64QGKPT</x:v>
      </x:c>
      <x:c r="C8" s="42" t="str">
        <x:f>'审核员A_前10'!C8</x:f>
        <x:v>PUMA Men's Cat Tee</x:v>
      </x:c>
      <x:c r="D8" s="42" t="str">
        <x:f>IF(OR('审核员A_前10'!$Y8&lt;&gt;"已完成",'审核员B_前10'!$Y8&lt;&gt;"已完成"),"待完成",IF('审核员A_前10'!O8='审核员B_前10'!O8,"一致","不一致"))</x:f>
        <x:v>待完成</x:v>
      </x:c>
      <x:c r="E8" s="42" t="str">
        <x:f>IF(OR('审核员A_前10'!$Y8&lt;&gt;"已完成",'审核员B_前10'!$Y8&lt;&gt;"已完成"),"待完成",IF('审核员A_前10'!P8='审核员B_前10'!P8,"一致","不一致"))</x:f>
        <x:v>待完成</x:v>
      </x:c>
      <x:c r="F8" s="42" t="str">
        <x:f>IF(OR('审核员A_前10'!$Y8&lt;&gt;"已完成",'审核员B_前10'!$Y8&lt;&gt;"已完成"),"待完成",IF('审核员A_前10'!Q8='审核员B_前10'!Q8,"一致","不一致"))</x:f>
        <x:v>待完成</x:v>
      </x:c>
      <x:c r="G8" s="42" t="str">
        <x:f>IF(OR('审核员A_前10'!$Y8&lt;&gt;"已完成",'审核员B_前10'!$Y8&lt;&gt;"已完成"),"待完成",IF('审核员A_前10'!R8='审核员B_前10'!R8,"一致","不一致"))</x:f>
        <x:v>待完成</x:v>
      </x:c>
      <x:c r="H8" s="42" t="str">
        <x:f>IF(OR('审核员A_前10'!$Y8&lt;&gt;"已完成",'审核员B_前10'!$Y8&lt;&gt;"已完成"),"待完成",IF('审核员A_前10'!S8='审核员B_前10'!S8,"一致","不一致"))</x:f>
        <x:v>待完成</x:v>
      </x:c>
      <x:c r="I8" s="42" t="str">
        <x:f>IF(OR('审核员A_前10'!$Y8&lt;&gt;"已完成",'审核员B_前10'!$Y8&lt;&gt;"已完成"),"待完成",IF('审核员A_前10'!T8='审核员B_前10'!T8,"一致","不一致"))</x:f>
        <x:v>待完成</x:v>
      </x:c>
      <x:c r="J8" s="42" t="str">
        <x:f>IF(OR('审核员A_前10'!$Y8&lt;&gt;"已完成",'审核员B_前10'!$Y8&lt;&gt;"已完成"),"待完成",IF('审核员A_前10'!U8='审核员B_前10'!U8,"一致","不一致"))</x:f>
        <x:v>待完成</x:v>
      </x:c>
      <x:c r="K8" s="42" t="str">
        <x:f>IF(OR('审核员A_前10'!$Y8&lt;&gt;"已完成",'审核员B_前10'!$Y8&lt;&gt;"已完成"),"待完成",IF('审核员A_前10'!V8='审核员B_前10'!V8,"一致","不一致"))</x:f>
        <x:v>待完成</x:v>
      </x:c>
      <x:c r="L8" s="42" t="str">
        <x:f>IF(OR('审核员A_前10'!$Y8&lt;&gt;"已完成",'审核员B_前10'!$Y8&lt;&gt;"已完成"),"待完成",IF('审核员A_前10'!W8='审核员B_前10'!W8,"一致","不一致"))</x:f>
        <x:v>待完成</x:v>
      </x:c>
      <x:c r="M8" s="42" t="n">
        <x:f>COUNTIF(D8:L8,"不一致")</x:f>
        <x:v>0</x:v>
      </x:c>
      <x:c r="N8" s="42" t="str">
        <x:f>IF(OR('审核员A_前10'!$Y8&lt;&gt;"已完成",'审核员B_前10'!$Y8&lt;&gt;"已完成"),"待完成",IF(M8=0,"一致","需讨论"))</x:f>
        <x:v>待完成</x:v>
      </x:c>
      <x:c r="O8" s="43"/>
      <x:c r="P8" s="43"/>
    </x:row>
    <x:row r="9" ht="42" customHeight="1">
      <x:c r="A9" s="42" t="n">
        <x:f>'审核员A_前10'!A9</x:f>
        <x:v>6</x:v>
      </x:c>
      <x:c r="B9" s="42" t="str">
        <x:f>'审核员A_前10'!B9</x:f>
        <x:v>B00SBEOLHU</x:v>
      </x:c>
      <x:c r="C9" s="42" t="str">
        <x:f>'审核员A_前10'!C9</x:f>
        <x:v>Dr. Martens Women's Anissa Embroidered 14-Eye Zip Boot Black Softy 8 UK</x:v>
      </x:c>
      <x:c r="D9" s="42" t="str">
        <x:f>IF(OR('审核员A_前10'!$Y9&lt;&gt;"已完成",'审核员B_前10'!$Y9&lt;&gt;"已完成"),"待完成",IF('审核员A_前10'!O9='审核员B_前10'!O9,"一致","不一致"))</x:f>
        <x:v>待完成</x:v>
      </x:c>
      <x:c r="E9" s="42" t="str">
        <x:f>IF(OR('审核员A_前10'!$Y9&lt;&gt;"已完成",'审核员B_前10'!$Y9&lt;&gt;"已完成"),"待完成",IF('审核员A_前10'!P9='审核员B_前10'!P9,"一致","不一致"))</x:f>
        <x:v>待完成</x:v>
      </x:c>
      <x:c r="F9" s="42" t="str">
        <x:f>IF(OR('审核员A_前10'!$Y9&lt;&gt;"已完成",'审核员B_前10'!$Y9&lt;&gt;"已完成"),"待完成",IF('审核员A_前10'!Q9='审核员B_前10'!Q9,"一致","不一致"))</x:f>
        <x:v>待完成</x:v>
      </x:c>
      <x:c r="G9" s="42" t="str">
        <x:f>IF(OR('审核员A_前10'!$Y9&lt;&gt;"已完成",'审核员B_前10'!$Y9&lt;&gt;"已完成"),"待完成",IF('审核员A_前10'!R9='审核员B_前10'!R9,"一致","不一致"))</x:f>
        <x:v>待完成</x:v>
      </x:c>
      <x:c r="H9" s="42" t="str">
        <x:f>IF(OR('审核员A_前10'!$Y9&lt;&gt;"已完成",'审核员B_前10'!$Y9&lt;&gt;"已完成"),"待完成",IF('审核员A_前10'!S9='审核员B_前10'!S9,"一致","不一致"))</x:f>
        <x:v>待完成</x:v>
      </x:c>
      <x:c r="I9" s="42" t="str">
        <x:f>IF(OR('审核员A_前10'!$Y9&lt;&gt;"已完成",'审核员B_前10'!$Y9&lt;&gt;"已完成"),"待完成",IF('审核员A_前10'!T9='审核员B_前10'!T9,"一致","不一致"))</x:f>
        <x:v>待完成</x:v>
      </x:c>
      <x:c r="J9" s="42" t="str">
        <x:f>IF(OR('审核员A_前10'!$Y9&lt;&gt;"已完成",'审核员B_前10'!$Y9&lt;&gt;"已完成"),"待完成",IF('审核员A_前10'!U9='审核员B_前10'!U9,"一致","不一致"))</x:f>
        <x:v>待完成</x:v>
      </x:c>
      <x:c r="K9" s="42" t="str">
        <x:f>IF(OR('审核员A_前10'!$Y9&lt;&gt;"已完成",'审核员B_前10'!$Y9&lt;&gt;"已完成"),"待完成",IF('审核员A_前10'!V9='审核员B_前10'!V9,"一致","不一致"))</x:f>
        <x:v>待完成</x:v>
      </x:c>
      <x:c r="L9" s="42" t="str">
        <x:f>IF(OR('审核员A_前10'!$Y9&lt;&gt;"已完成",'审核员B_前10'!$Y9&lt;&gt;"已完成"),"待完成",IF('审核员A_前10'!W9='审核员B_前10'!W9,"一致","不一致"))</x:f>
        <x:v>待完成</x:v>
      </x:c>
      <x:c r="M9" s="42" t="n">
        <x:f>COUNTIF(D9:L9,"不一致")</x:f>
        <x:v>0</x:v>
      </x:c>
      <x:c r="N9" s="42" t="str">
        <x:f>IF(OR('审核员A_前10'!$Y9&lt;&gt;"已完成",'审核员B_前10'!$Y9&lt;&gt;"已完成"),"待完成",IF(M9=0,"一致","需讨论"))</x:f>
        <x:v>待完成</x:v>
      </x:c>
      <x:c r="O9" s="43"/>
      <x:c r="P9" s="43"/>
    </x:row>
    <x:row r="10" ht="42" customHeight="1">
      <x:c r="A10" s="42" t="n">
        <x:f>'审核员A_前10'!A10</x:f>
        <x:v>7</x:v>
      </x:c>
      <x:c r="B10" s="42" t="str">
        <x:f>'审核员A_前10'!B10</x:f>
        <x:v>B0058XF84W</x:v>
      </x:c>
      <x:c r="C10" s="42" t="str">
        <x:f>'审核员A_前10'!C10</x:f>
        <x:v>Ryka Women's Dash,Metallic Lake Blue/Chrome Silver/Steel Grey/White,US 5.5 M</x:v>
      </x:c>
      <x:c r="D10" s="42" t="str">
        <x:f>IF(OR('审核员A_前10'!$Y10&lt;&gt;"已完成",'审核员B_前10'!$Y10&lt;&gt;"已完成"),"待完成",IF('审核员A_前10'!O10='审核员B_前10'!O10,"一致","不一致"))</x:f>
        <x:v>待完成</x:v>
      </x:c>
      <x:c r="E10" s="42" t="str">
        <x:f>IF(OR('审核员A_前10'!$Y10&lt;&gt;"已完成",'审核员B_前10'!$Y10&lt;&gt;"已完成"),"待完成",IF('审核员A_前10'!P10='审核员B_前10'!P10,"一致","不一致"))</x:f>
        <x:v>待完成</x:v>
      </x:c>
      <x:c r="F10" s="42" t="str">
        <x:f>IF(OR('审核员A_前10'!$Y10&lt;&gt;"已完成",'审核员B_前10'!$Y10&lt;&gt;"已完成"),"待完成",IF('审核员A_前10'!Q10='审核员B_前10'!Q10,"一致","不一致"))</x:f>
        <x:v>待完成</x:v>
      </x:c>
      <x:c r="G10" s="42" t="str">
        <x:f>IF(OR('审核员A_前10'!$Y10&lt;&gt;"已完成",'审核员B_前10'!$Y10&lt;&gt;"已完成"),"待完成",IF('审核员A_前10'!R10='审核员B_前10'!R10,"一致","不一致"))</x:f>
        <x:v>待完成</x:v>
      </x:c>
      <x:c r="H10" s="42" t="str">
        <x:f>IF(OR('审核员A_前10'!$Y10&lt;&gt;"已完成",'审核员B_前10'!$Y10&lt;&gt;"已完成"),"待完成",IF('审核员A_前10'!S10='审核员B_前10'!S10,"一致","不一致"))</x:f>
        <x:v>待完成</x:v>
      </x:c>
      <x:c r="I10" s="42" t="str">
        <x:f>IF(OR('审核员A_前10'!$Y10&lt;&gt;"已完成",'审核员B_前10'!$Y10&lt;&gt;"已完成"),"待完成",IF('审核员A_前10'!T10='审核员B_前10'!T10,"一致","不一致"))</x:f>
        <x:v>待完成</x:v>
      </x:c>
      <x:c r="J10" s="42" t="str">
        <x:f>IF(OR('审核员A_前10'!$Y10&lt;&gt;"已完成",'审核员B_前10'!$Y10&lt;&gt;"已完成"),"待完成",IF('审核员A_前10'!U10='审核员B_前10'!U10,"一致","不一致"))</x:f>
        <x:v>待完成</x:v>
      </x:c>
      <x:c r="K10" s="42" t="str">
        <x:f>IF(OR('审核员A_前10'!$Y10&lt;&gt;"已完成",'审核员B_前10'!$Y10&lt;&gt;"已完成"),"待完成",IF('审核员A_前10'!V10='审核员B_前10'!V10,"一致","不一致"))</x:f>
        <x:v>待完成</x:v>
      </x:c>
      <x:c r="L10" s="42" t="str">
        <x:f>IF(OR('审核员A_前10'!$Y10&lt;&gt;"已完成",'审核员B_前10'!$Y10&lt;&gt;"已完成"),"待完成",IF('审核员A_前10'!W10='审核员B_前10'!W10,"一致","不一致"))</x:f>
        <x:v>待完成</x:v>
      </x:c>
      <x:c r="M10" s="42" t="n">
        <x:f>COUNTIF(D10:L10,"不一致")</x:f>
        <x:v>0</x:v>
      </x:c>
      <x:c r="N10" s="42" t="str">
        <x:f>IF(OR('审核员A_前10'!$Y10&lt;&gt;"已完成",'审核员B_前10'!$Y10&lt;&gt;"已完成"),"待完成",IF(M10=0,"一致","需讨论"))</x:f>
        <x:v>待完成</x:v>
      </x:c>
      <x:c r="O10" s="43"/>
      <x:c r="P10" s="43"/>
    </x:row>
    <x:row r="11" ht="42" customHeight="1">
      <x:c r="A11" s="42" t="n">
        <x:f>'审核员A_前10'!A11</x:f>
        <x:v>8</x:v>
      </x:c>
      <x:c r="B11" s="42" t="str">
        <x:f>'审核员A_前10'!B11</x:f>
        <x:v>B005GO4FOW</x:v>
      </x:c>
      <x:c r="C11" s="42" t="str">
        <x:f>'审核员A_前10'!C11</x:f>
        <x:v>Dr. Martens Naseby ST Work Boot</x:v>
      </x:c>
      <x:c r="D11" s="42" t="str">
        <x:f>IF(OR('审核员A_前10'!$Y11&lt;&gt;"已完成",'审核员B_前10'!$Y11&lt;&gt;"已完成"),"待完成",IF('审核员A_前10'!O11='审核员B_前10'!O11,"一致","不一致"))</x:f>
        <x:v>待完成</x:v>
      </x:c>
      <x:c r="E11" s="42" t="str">
        <x:f>IF(OR('审核员A_前10'!$Y11&lt;&gt;"已完成",'审核员B_前10'!$Y11&lt;&gt;"已完成"),"待完成",IF('审核员A_前10'!P11='审核员B_前10'!P11,"一致","不一致"))</x:f>
        <x:v>待完成</x:v>
      </x:c>
      <x:c r="F11" s="42" t="str">
        <x:f>IF(OR('审核员A_前10'!$Y11&lt;&gt;"已完成",'审核员B_前10'!$Y11&lt;&gt;"已完成"),"待完成",IF('审核员A_前10'!Q11='审核员B_前10'!Q11,"一致","不一致"))</x:f>
        <x:v>待完成</x:v>
      </x:c>
      <x:c r="G11" s="42" t="str">
        <x:f>IF(OR('审核员A_前10'!$Y11&lt;&gt;"已完成",'审核员B_前10'!$Y11&lt;&gt;"已完成"),"待完成",IF('审核员A_前10'!R11='审核员B_前10'!R11,"一致","不一致"))</x:f>
        <x:v>待完成</x:v>
      </x:c>
      <x:c r="H11" s="42" t="str">
        <x:f>IF(OR('审核员A_前10'!$Y11&lt;&gt;"已完成",'审核员B_前10'!$Y11&lt;&gt;"已完成"),"待完成",IF('审核员A_前10'!S11='审核员B_前10'!S11,"一致","不一致"))</x:f>
        <x:v>待完成</x:v>
      </x:c>
      <x:c r="I11" s="42" t="str">
        <x:f>IF(OR('审核员A_前10'!$Y11&lt;&gt;"已完成",'审核员B_前10'!$Y11&lt;&gt;"已完成"),"待完成",IF('审核员A_前10'!T11='审核员B_前10'!T11,"一致","不一致"))</x:f>
        <x:v>待完成</x:v>
      </x:c>
      <x:c r="J11" s="42" t="str">
        <x:f>IF(OR('审核员A_前10'!$Y11&lt;&gt;"已完成",'审核员B_前10'!$Y11&lt;&gt;"已完成"),"待完成",IF('审核员A_前10'!U11='审核员B_前10'!U11,"一致","不一致"))</x:f>
        <x:v>待完成</x:v>
      </x:c>
      <x:c r="K11" s="42" t="str">
        <x:f>IF(OR('审核员A_前10'!$Y11&lt;&gt;"已完成",'审核员B_前10'!$Y11&lt;&gt;"已完成"),"待完成",IF('审核员A_前10'!V11='审核员B_前10'!V11,"一致","不一致"))</x:f>
        <x:v>待完成</x:v>
      </x:c>
      <x:c r="L11" s="42" t="str">
        <x:f>IF(OR('审核员A_前10'!$Y11&lt;&gt;"已完成",'审核员B_前10'!$Y11&lt;&gt;"已完成"),"待完成",IF('审核员A_前10'!W11='审核员B_前10'!W11,"一致","不一致"))</x:f>
        <x:v>待完成</x:v>
      </x:c>
      <x:c r="M11" s="42" t="n">
        <x:f>COUNTIF(D11:L11,"不一致")</x:f>
        <x:v>0</x:v>
      </x:c>
      <x:c r="N11" s="42" t="str">
        <x:f>IF(OR('审核员A_前10'!$Y11&lt;&gt;"已完成",'审核员B_前10'!$Y11&lt;&gt;"已完成"),"待完成",IF(M11=0,"一致","需讨论"))</x:f>
        <x:v>待完成</x:v>
      </x:c>
      <x:c r="O11" s="43"/>
      <x:c r="P11" s="43"/>
    </x:row>
    <x:row r="12" ht="42" customHeight="1">
      <x:c r="A12" s="42" t="n">
        <x:f>'审核员A_前10'!A12</x:f>
        <x:v>9</x:v>
      </x:c>
      <x:c r="B12" s="42" t="str">
        <x:f>'审核员A_前10'!B12</x:f>
        <x:v>B07GLN2JG3</x:v>
      </x:c>
      <x:c r="C12" s="42" t="str">
        <x:f>'审核员A_前10'!C12</x:f>
        <x:v>JACKSHIBO Steel Toe Work Shoes for Men Women Safety Shoes Breathable Industrial Construction Shoes Camouflage Green</x:v>
      </x:c>
      <x:c r="D12" s="42" t="str">
        <x:f>IF(OR('审核员A_前10'!$Y12&lt;&gt;"已完成",'审核员B_前10'!$Y12&lt;&gt;"已完成"),"待完成",IF('审核员A_前10'!O12='审核员B_前10'!O12,"一致","不一致"))</x:f>
        <x:v>待完成</x:v>
      </x:c>
      <x:c r="E12" s="42" t="str">
        <x:f>IF(OR('审核员A_前10'!$Y12&lt;&gt;"已完成",'审核员B_前10'!$Y12&lt;&gt;"已完成"),"待完成",IF('审核员A_前10'!P12='审核员B_前10'!P12,"一致","不一致"))</x:f>
        <x:v>待完成</x:v>
      </x:c>
      <x:c r="F12" s="42" t="str">
        <x:f>IF(OR('审核员A_前10'!$Y12&lt;&gt;"已完成",'审核员B_前10'!$Y12&lt;&gt;"已完成"),"待完成",IF('审核员A_前10'!Q12='审核员B_前10'!Q12,"一致","不一致"))</x:f>
        <x:v>待完成</x:v>
      </x:c>
      <x:c r="G12" s="42" t="str">
        <x:f>IF(OR('审核员A_前10'!$Y12&lt;&gt;"已完成",'审核员B_前10'!$Y12&lt;&gt;"已完成"),"待完成",IF('审核员A_前10'!R12='审核员B_前10'!R12,"一致","不一致"))</x:f>
        <x:v>待完成</x:v>
      </x:c>
      <x:c r="H12" s="42" t="str">
        <x:f>IF(OR('审核员A_前10'!$Y12&lt;&gt;"已完成",'审核员B_前10'!$Y12&lt;&gt;"已完成"),"待完成",IF('审核员A_前10'!S12='审核员B_前10'!S12,"一致","不一致"))</x:f>
        <x:v>待完成</x:v>
      </x:c>
      <x:c r="I12" s="42" t="str">
        <x:f>IF(OR('审核员A_前10'!$Y12&lt;&gt;"已完成",'审核员B_前10'!$Y12&lt;&gt;"已完成"),"待完成",IF('审核员A_前10'!T12='审核员B_前10'!T12,"一致","不一致"))</x:f>
        <x:v>待完成</x:v>
      </x:c>
      <x:c r="J12" s="42" t="str">
        <x:f>IF(OR('审核员A_前10'!$Y12&lt;&gt;"已完成",'审核员B_前10'!$Y12&lt;&gt;"已完成"),"待完成",IF('审核员A_前10'!U12='审核员B_前10'!U12,"一致","不一致"))</x:f>
        <x:v>待完成</x:v>
      </x:c>
      <x:c r="K12" s="42" t="str">
        <x:f>IF(OR('审核员A_前10'!$Y12&lt;&gt;"已完成",'审核员B_前10'!$Y12&lt;&gt;"已完成"),"待完成",IF('审核员A_前10'!V12='审核员B_前10'!V12,"一致","不一致"))</x:f>
        <x:v>待完成</x:v>
      </x:c>
      <x:c r="L12" s="42" t="str">
        <x:f>IF(OR('审核员A_前10'!$Y12&lt;&gt;"已完成",'审核员B_前10'!$Y12&lt;&gt;"已完成"),"待完成",IF('审核员A_前10'!W12='审核员B_前10'!W12,"一致","不一致"))</x:f>
        <x:v>待完成</x:v>
      </x:c>
      <x:c r="M12" s="42" t="n">
        <x:f>COUNTIF(D12:L12,"不一致")</x:f>
        <x:v>0</x:v>
      </x:c>
      <x:c r="N12" s="42" t="str">
        <x:f>IF(OR('审核员A_前10'!$Y12&lt;&gt;"已完成",'审核员B_前10'!$Y12&lt;&gt;"已完成"),"待完成",IF(M12=0,"一致","需讨论"))</x:f>
        <x:v>待完成</x:v>
      </x:c>
      <x:c r="O12" s="43"/>
      <x:c r="P12" s="43"/>
    </x:row>
    <x:row r="13" ht="42" customHeight="1">
      <x:c r="A13" s="42" t="n">
        <x:f>'审核员A_前10'!A13</x:f>
        <x:v>10</x:v>
      </x:c>
      <x:c r="B13" s="42" t="str">
        <x:f>'审核员A_前10'!B13</x:f>
        <x:v>B0798NPXXZ</x:v>
      </x:c>
      <x:c r="C13" s="42" t="str">
        <x:f>'审核员A_前10'!C13</x:f>
        <x:v>FITORY Men's Flip-Flop Thong Sandals Light Weight Beach Slippers Size 7-13 Brown</x:v>
      </x:c>
      <x:c r="D13" s="42" t="str">
        <x:f>IF(OR('审核员A_前10'!$Y13&lt;&gt;"已完成",'审核员B_前10'!$Y13&lt;&gt;"已完成"),"待完成",IF('审核员A_前10'!O13='审核员B_前10'!O13,"一致","不一致"))</x:f>
        <x:v>待完成</x:v>
      </x:c>
      <x:c r="E13" s="42" t="str">
        <x:f>IF(OR('审核员A_前10'!$Y13&lt;&gt;"已完成",'审核员B_前10'!$Y13&lt;&gt;"已完成"),"待完成",IF('审核员A_前10'!P13='审核员B_前10'!P13,"一致","不一致"))</x:f>
        <x:v>待完成</x:v>
      </x:c>
      <x:c r="F13" s="42" t="str">
        <x:f>IF(OR('审核员A_前10'!$Y13&lt;&gt;"已完成",'审核员B_前10'!$Y13&lt;&gt;"已完成"),"待完成",IF('审核员A_前10'!Q13='审核员B_前10'!Q13,"一致","不一致"))</x:f>
        <x:v>待完成</x:v>
      </x:c>
      <x:c r="G13" s="42" t="str">
        <x:f>IF(OR('审核员A_前10'!$Y13&lt;&gt;"已完成",'审核员B_前10'!$Y13&lt;&gt;"已完成"),"待完成",IF('审核员A_前10'!R13='审核员B_前10'!R13,"一致","不一致"))</x:f>
        <x:v>待完成</x:v>
      </x:c>
      <x:c r="H13" s="42" t="str">
        <x:f>IF(OR('审核员A_前10'!$Y13&lt;&gt;"已完成",'审核员B_前10'!$Y13&lt;&gt;"已完成"),"待完成",IF('审核员A_前10'!S13='审核员B_前10'!S13,"一致","不一致"))</x:f>
        <x:v>待完成</x:v>
      </x:c>
      <x:c r="I13" s="42" t="str">
        <x:f>IF(OR('审核员A_前10'!$Y13&lt;&gt;"已完成",'审核员B_前10'!$Y13&lt;&gt;"已完成"),"待完成",IF('审核员A_前10'!T13='审核员B_前10'!T13,"一致","不一致"))</x:f>
        <x:v>待完成</x:v>
      </x:c>
      <x:c r="J13" s="42" t="str">
        <x:f>IF(OR('审核员A_前10'!$Y13&lt;&gt;"已完成",'审核员B_前10'!$Y13&lt;&gt;"已完成"),"待完成",IF('审核员A_前10'!U13='审核员B_前10'!U13,"一致","不一致"))</x:f>
        <x:v>待完成</x:v>
      </x:c>
      <x:c r="K13" s="42" t="str">
        <x:f>IF(OR('审核员A_前10'!$Y13&lt;&gt;"已完成",'审核员B_前10'!$Y13&lt;&gt;"已完成"),"待完成",IF('审核员A_前10'!V13='审核员B_前10'!V13,"一致","不一致"))</x:f>
        <x:v>待完成</x:v>
      </x:c>
      <x:c r="L13" s="42" t="str">
        <x:f>IF(OR('审核员A_前10'!$Y13&lt;&gt;"已完成",'审核员B_前10'!$Y13&lt;&gt;"已完成"),"待完成",IF('审核员A_前10'!W13='审核员B_前10'!W13,"一致","不一致"))</x:f>
        <x:v>待完成</x:v>
      </x:c>
      <x:c r="M13" s="42" t="n">
        <x:f>COUNTIF(D13:L13,"不一致")</x:f>
        <x:v>0</x:v>
      </x:c>
      <x:c r="N13" s="42" t="str">
        <x:f>IF(OR('审核员A_前10'!$Y13&lt;&gt;"已完成",'审核员B_前10'!$Y13&lt;&gt;"已完成"),"待完成",IF(M13=0,"一致","需讨论"))</x:f>
        <x:v>待完成</x:v>
      </x:c>
      <x:c r="O13" s="43"/>
      <x:c r="P13" s="43"/>
    </x:row>
  </x:sheetData>
  <x:mergeCells>
    <x:mergeCell ref="A1:P1"/>
    <x:mergeCell ref="A2:P2"/>
  </x:mergeCells>
  <x:conditionalFormatting sqref="D4:N13">
    <x:cfRule type="containsText" dxfId="4" priority="1" operator="containsText" text="不一致"/>
    <x:cfRule type="containsText" dxfId="5" priority="2" operator="containsText" text="一致"/>
    <x:cfRule type="containsText" dxfId="6" priority="3" operator="containsText" text="待完成"/>
  </x:conditionalFormatting>
  <x:pageMargins left="0.7" right="0.7" top="0.75" bottom="0.75" header="0.3" footer="0.3"/>
  <x:tableParts count="1">
    <x:tablePart xmlns:r="http://schemas.openxmlformats.org/officeDocument/2006/relationships" r:id="Re993e6901db84b5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5" hidden="0" customWidth="1"/>
    <x:col min="4" max="4" width="34" hidden="0" customWidth="1"/>
    <x:col min="5" max="5" width="20" hidden="0" customWidth="1"/>
    <x:col min="6" max="6" width="36" hidden="0" customWidth="1"/>
    <x:col min="7" max="7" width="12" hidden="0" customWidth="1"/>
    <x:col min="8" max="8" width="18" hidden="0" customWidth="1"/>
    <x:col min="9" max="9" width="16" hidden="0" customWidth="1"/>
    <x:col min="10" max="10" width="14" hidden="0" customWidth="1"/>
    <x:col min="11" max="11" width="14" hidden="0" customWidth="1"/>
    <x:col min="12" max="12" width="16" hidden="0" customWidth="1"/>
    <x:col min="13" max="13" width="14" hidden="0" customWidth="1"/>
    <x:col min="14" max="14" width="38" hidden="0" customWidth="1"/>
    <x:col min="15" max="15" width="38" hidden="0" customWidth="1"/>
    <x:col min="16" max="16" width="18" hidden="0" customWidth="1"/>
    <x:col min="17" max="17" width="14" hidden="0" customWidth="1"/>
    <x:col min="18" max="18" width="14" hidden="0" customWidth="1"/>
    <x:col min="19" max="19" width="16" hidden="0" customWidth="1"/>
    <x:col min="20" max="20" width="16" hidden="0" customWidth="1"/>
    <x:col min="21" max="21" width="14" hidden="0" customWidth="1"/>
    <x:col min="22" max="22" width="18" hidden="0" customWidth="1"/>
    <x:col min="23" max="23" width="18" hidden="0" customWidth="1"/>
    <x:col min="24" max="24" width="28" hidden="0" customWidth="1"/>
    <x:col min="25" max="25" width="34" hidden="0" customWidth="1"/>
    <x:col min="26" max="26" width="14" hidden="0" customWidth="1"/>
  </x:cols>
  <x:sheetData>
    <x:row r="1" ht="30" customHeight="1">
      <x:c r="A1" s="3" t="str">
        <x:v>剩余40条分工审核</x:v>
      </x:c>
      <x:c r="B1" s="3"/>
      <x:c r="C1" s="3"/>
      <x:c r="D1" s="3"/>
      <x:c r="E1" s="3"/>
      <x:c r="F1" s="3"/>
      <x:c r="G1" s="3"/>
      <x:c r="H1" s="3"/>
      <x:c r="I1" s="3"/>
      <x:c r="J1" s="3"/>
      <x:c r="K1" s="3"/>
      <x:c r="L1" s="3"/>
      <x:c r="M1" s="3"/>
      <x:c r="N1" s="3"/>
      <x:c r="O1" s="3"/>
      <x:c r="P1" s="3"/>
      <x:c r="Q1" s="3"/>
      <x:c r="R1" s="3"/>
      <x:c r="S1" s="3"/>
      <x:c r="T1" s="3"/>
      <x:c r="U1" s="3"/>
      <x:c r="V1" s="3"/>
      <x:c r="W1" s="3"/>
      <x:c r="X1" s="3"/>
      <x:c r="Y1" s="3"/>
      <x:c r="Z1" s="3"/>
    </x:row>
    <x:row r="2" ht="32" customHeight="1">
      <x:c r="A2" s="7" t="str">
        <x:v>前10条标准统一后再填写本页。默认第11–30条由审核员A负责，第31–50条由审核员B负责。</x:v>
      </x:c>
      <x:c r="B2" s="7"/>
      <x:c r="C2" s="7"/>
      <x:c r="D2" s="7"/>
      <x:c r="E2" s="7"/>
      <x:c r="F2" s="7"/>
      <x:c r="G2" s="7"/>
      <x:c r="H2" s="7"/>
      <x:c r="I2" s="7"/>
      <x:c r="J2" s="7"/>
      <x:c r="K2" s="7"/>
      <x:c r="L2" s="7"/>
      <x:c r="M2" s="7"/>
      <x:c r="N2" s="7"/>
      <x:c r="O2" s="7"/>
      <x:c r="P2" s="7"/>
      <x:c r="Q2" s="7"/>
      <x:c r="R2" s="7"/>
      <x:c r="S2" s="7"/>
      <x:c r="T2" s="7"/>
      <x:c r="U2" s="7"/>
      <x:c r="V2" s="7"/>
      <x:c r="W2" s="7"/>
      <x:c r="X2" s="7"/>
      <x:c r="Y2" s="7"/>
      <x:c r="Z2" s="7"/>
    </x:row>
    <x:row r="3">
      <x:c r="A3" s="16" t="str">
        <x:v>样本序号</x:v>
      </x:c>
      <x:c r="B3" s="17" t="str">
        <x:v>负责人</x:v>
      </x:c>
      <x:c r="C3" s="17" t="str">
        <x:v>商品ID</x:v>
      </x:c>
      <x:c r="D3" s="17" t="str">
        <x:v>商品标题</x:v>
      </x:c>
      <x:c r="E3" s="17" t="str">
        <x:v>原始末级分类</x:v>
      </x:c>
      <x:c r="F3" s="17" t="str">
        <x:v>完整分类路径</x:v>
      </x:c>
      <x:c r="G3" s="17" t="str">
        <x:v>原始价格</x:v>
      </x:c>
      <x:c r="H3" s="17" t="str">
        <x:v>原始店铺</x:v>
      </x:c>
      <x:c r="I3" s="17" t="str">
        <x:v>原始适用人群</x:v>
      </x:c>
      <x:c r="J3" s="17" t="str">
        <x:v>原始颜色</x:v>
      </x:c>
      <x:c r="K3" s="17" t="str">
        <x:v>原始材质</x:v>
      </x:c>
      <x:c r="L3" s="17" t="str">
        <x:v>原始品牌</x:v>
      </x:c>
      <x:c r="M3" s="17" t="str">
        <x:v>原始尺码</x:v>
      </x:c>
      <x:c r="N3" s="17" t="str">
        <x:v>卖点摘要</x:v>
      </x:c>
      <x:c r="O3" s="18" t="str">
        <x:v>描述摘要</x:v>
      </x:c>
      <x:c r="P3" s="27" t="str">
        <x:v>审核分类</x:v>
      </x:c>
      <x:c r="Q3" s="28" t="str">
        <x:v>适用人群</x:v>
      </x:c>
      <x:c r="R3" s="28" t="str">
        <x:v>颜色</x:v>
      </x:c>
      <x:c r="S3" s="28" t="str">
        <x:v>材质</x:v>
      </x:c>
      <x:c r="T3" s="28" t="str">
        <x:v>品牌</x:v>
      </x:c>
      <x:c r="U3" s="28" t="str">
        <x:v>尺码</x:v>
      </x:c>
      <x:c r="V3" s="28" t="str">
        <x:v>使用场景</x:v>
      </x:c>
      <x:c r="W3" s="28" t="str">
        <x:v>商品功能</x:v>
      </x:c>
      <x:c r="X3" s="28" t="str">
        <x:v>数据问题</x:v>
      </x:c>
      <x:c r="Y3" s="28" t="str">
        <x:v>审核备注</x:v>
      </x:c>
      <x:c r="Z3" s="29" t="str">
        <x:v>完成状态</x:v>
      </x:c>
    </x:row>
    <x:row r="4" ht="55" customHeight="1">
      <x:c r="A4" s="32" t="n">
        <x:v>11</x:v>
      </x:c>
      <x:c r="B4" s="32" t="str">
        <x:v>审核员A</x:v>
      </x:c>
      <x:c r="C4" s="32" t="str">
        <x:v>B07NQC2WJG</x:v>
      </x:c>
      <x:c r="D4" s="32" t="str">
        <x:v>FARYSAYS Women's Casual Striped Ladies Short Sleeve V Neck, X-Black, Size 18.0</x:v>
      </x:c>
      <x:c r="E4" s="32" t="str">
        <x:v>Westlake</x:v>
      </x:c>
      <x:c r="F4" s="32" t="str">
        <x:v>Clothing, Shoes &amp; Jewelry &gt; Westlake</x:v>
      </x:c>
      <x:c r="G4" s="32" t="str"/>
      <x:c r="H4" s="32" t="str">
        <x:v>FARYSAYS</x:v>
      </x:c>
      <x:c r="I4" s="32" t="str"/>
      <x:c r="J4" s="32" t="str"/>
      <x:c r="K4" s="32" t="str"/>
      <x:c r="L4" s="32" t="str"/>
      <x:c r="M4" s="32" t="str"/>
      <x:c r="N4" s="32" t="str">
        <x:v>Pull On closure</x:v>
      </x:c>
      <x:c r="O4" s="32" t="str"/>
      <x:c r="P4" s="35" t="str"/>
      <x:c r="Q4" s="35" t="str"/>
      <x:c r="R4" s="35" t="str"/>
      <x:c r="S4" s="35" t="str"/>
      <x:c r="T4" s="35" t="str"/>
      <x:c r="U4" s="35" t="str"/>
      <x:c r="V4" s="35" t="str"/>
      <x:c r="W4" s="35" t="str"/>
      <x:c r="X4" s="35" t="str"/>
      <x:c r="Y4" s="35" t="str"/>
      <x:c r="Z4" s="35" t="str">
        <x:v>未开始</x:v>
      </x:c>
    </x:row>
    <x:row r="5" ht="55" customHeight="1">
      <x:c r="A5" s="32" t="n">
        <x:v>12</x:v>
      </x:c>
      <x:c r="B5" s="32" t="str">
        <x:v>审核员A</x:v>
      </x:c>
      <x:c r="C5" s="32" t="str">
        <x:v>B09BCKBMJD</x:v>
      </x:c>
      <x:c r="D5" s="32" t="str">
        <x:v>Arshiner Girls Swing Dress Long Sleeve Loose Flowy Beach Casual Dresses for Kids 13-14 Years Dark Green</x:v>
      </x:c>
      <x:c r="E5" s="32" t="str">
        <x:v>Westlake</x:v>
      </x:c>
      <x:c r="F5" s="32" t="str">
        <x:v>Clothing, Shoes &amp; Jewelry &gt; Westlake</x:v>
      </x:c>
      <x:c r="G5" s="32" t="str"/>
      <x:c r="H5" s="32" t="str">
        <x:v>Arshiner</x:v>
      </x:c>
      <x:c r="I5" s="32" t="str"/>
      <x:c r="J5" s="32" t="str"/>
      <x:c r="K5" s="32" t="str"/>
      <x:c r="L5" s="32" t="str"/>
      <x:c r="M5" s="32" t="str"/>
      <x:c r="N5" s="32" t="str">
        <x:v>100% Polyester Button closure</x:v>
      </x:c>
      <x:c r="O5" s="32" t="str"/>
      <x:c r="P5" s="35" t="str"/>
      <x:c r="Q5" s="35" t="str"/>
      <x:c r="R5" s="35" t="str"/>
      <x:c r="S5" s="35" t="str"/>
      <x:c r="T5" s="35" t="str"/>
      <x:c r="U5" s="35" t="str"/>
      <x:c r="V5" s="35" t="str"/>
      <x:c r="W5" s="35" t="str"/>
      <x:c r="X5" s="35" t="str"/>
      <x:c r="Y5" s="35" t="str"/>
      <x:c r="Z5" s="35" t="str">
        <x:v>未开始</x:v>
      </x:c>
    </x:row>
    <x:row r="6" ht="55" customHeight="1">
      <x:c r="A6" s="32" t="n">
        <x:v>13</x:v>
      </x:c>
      <x:c r="B6" s="32" t="str">
        <x:v>审核员A</x:v>
      </x:c>
      <x:c r="C6" s="32" t="str">
        <x:v>B088WS4J57</x:v>
      </x:c>
      <x:c r="D6" s="32" t="str">
        <x:v>Aivtalk Women's Zip Front Sport Bra Plus Size Wirefree Lace Bra Full Coverage T-Shirt Bra Green</x:v>
      </x:c>
      <x:c r="E6" s="32" t="str">
        <x:v>Westlake</x:v>
      </x:c>
      <x:c r="F6" s="32" t="str">
        <x:v>Clothing, Shoes &amp; Jewelry &gt; Westlake</x:v>
      </x:c>
      <x:c r="G6" s="32" t="str"/>
      <x:c r="H6" s="32" t="str">
        <x:v>Aivtalk</x:v>
      </x:c>
      <x:c r="I6" s="32" t="str"/>
      <x:c r="J6" s="32" t="str"/>
      <x:c r="K6" s="32" t="str"/>
      <x:c r="L6" s="32" t="str"/>
      <x:c r="M6" s="32" t="str"/>
      <x:c r="N6" s="32" t="str">
        <x:v>Zipper closure</x:v>
      </x:c>
      <x:c r="O6" s="32" t="str"/>
      <x:c r="P6" s="35" t="str"/>
      <x:c r="Q6" s="35" t="str"/>
      <x:c r="R6" s="35" t="str"/>
      <x:c r="S6" s="35" t="str"/>
      <x:c r="T6" s="35" t="str"/>
      <x:c r="U6" s="35" t="str"/>
      <x:c r="V6" s="35" t="str"/>
      <x:c r="W6" s="35" t="str"/>
      <x:c r="X6" s="35" t="str"/>
      <x:c r="Y6" s="35" t="str"/>
      <x:c r="Z6" s="35" t="str">
        <x:v>未开始</x:v>
      </x:c>
    </x:row>
    <x:row r="7" ht="55" customHeight="1">
      <x:c r="A7" s="32" t="n">
        <x:v>14</x:v>
      </x:c>
      <x:c r="B7" s="32" t="str">
        <x:v>审核员A</x:v>
      </x:c>
      <x:c r="C7" s="32" t="str">
        <x:v>B0113RCR8G</x:v>
      </x:c>
      <x:c r="D7" s="32" t="str">
        <x:v>OURS Women Chiffon Printed Cardigan Kimono Robe Tops Beach Cover up Blouse (XL, Floral)</x:v>
      </x:c>
      <x:c r="E7" s="32" t="str">
        <x:v>Westlake</x:v>
      </x:c>
      <x:c r="F7" s="32" t="str">
        <x:v>Clothing, Shoes &amp; Jewelry &gt; Westlake</x:v>
      </x:c>
      <x:c r="G7" s="32" t="str"/>
      <x:c r="H7" s="32" t="str">
        <x:v>OURS</x:v>
      </x:c>
      <x:c r="I7" s="32" t="str"/>
      <x:c r="J7" s="32" t="str"/>
      <x:c r="K7" s="32" t="str"/>
      <x:c r="L7" s="32" t="str"/>
      <x:c r="M7" s="32" t="str"/>
      <x:c r="N7" s="32" t="str">
        <x:v>Chiffon Pull On closure</x:v>
      </x:c>
      <x:c r="O7" s="32" t="str"/>
      <x:c r="P7" s="35" t="str"/>
      <x:c r="Q7" s="35" t="str"/>
      <x:c r="R7" s="35" t="str"/>
      <x:c r="S7" s="35" t="str"/>
      <x:c r="T7" s="35" t="str"/>
      <x:c r="U7" s="35" t="str"/>
      <x:c r="V7" s="35" t="str"/>
      <x:c r="W7" s="35" t="str"/>
      <x:c r="X7" s="35" t="str"/>
      <x:c r="Y7" s="35" t="str"/>
      <x:c r="Z7" s="35" t="str">
        <x:v>未开始</x:v>
      </x:c>
    </x:row>
    <x:row r="8" ht="55" customHeight="1">
      <x:c r="A8" s="32" t="n">
        <x:v>15</x:v>
      </x:c>
      <x:c r="B8" s="32" t="str">
        <x:v>审核员A</x:v>
      </x:c>
      <x:c r="C8" s="32" t="str">
        <x:v>B086XM916Q</x:v>
      </x:c>
      <x:c r="D8" s="32" t="str">
        <x:v>Totes Women's Palm Tree Print and Solid Reversible Rain Poncho, Navy</x:v>
      </x:c>
      <x:c r="E8" s="32" t="str">
        <x:v>Westlake</x:v>
      </x:c>
      <x:c r="F8" s="32" t="str">
        <x:v>Clothing, Shoes &amp; Jewelry &gt; Westlake</x:v>
      </x:c>
      <x:c r="G8" s="32" t="str"/>
      <x:c r="H8" s="32" t="str">
        <x:v>totes</x:v>
      </x:c>
      <x:c r="I8" s="32" t="str"/>
      <x:c r="J8" s="32" t="str"/>
      <x:c r="K8" s="32" t="str"/>
      <x:c r="L8" s="32" t="str"/>
      <x:c r="M8" s="32" t="str"/>
      <x:c r="N8" s="32" t="str">
        <x:v>Snap closure Machine wash cold with like colors delicate cycle with cold water and mild soap. Do not bleach. Tumble dry low. Remove promptly. Cool iron if necessary.</x:v>
      </x:c>
      <x:c r="O8" s="32" t="str"/>
      <x:c r="P8" s="35" t="str"/>
      <x:c r="Q8" s="35" t="str"/>
      <x:c r="R8" s="35" t="str"/>
      <x:c r="S8" s="35" t="str"/>
      <x:c r="T8" s="35" t="str"/>
      <x:c r="U8" s="35" t="str"/>
      <x:c r="V8" s="35" t="str"/>
      <x:c r="W8" s="35" t="str"/>
      <x:c r="X8" s="35" t="str"/>
      <x:c r="Y8" s="35" t="str"/>
      <x:c r="Z8" s="35" t="str">
        <x:v>未开始</x:v>
      </x:c>
    </x:row>
    <x:row r="9" ht="55" customHeight="1">
      <x:c r="A9" s="32" t="n">
        <x:v>16</x:v>
      </x:c>
      <x:c r="B9" s="32" t="str">
        <x:v>审核员A</x:v>
      </x:c>
      <x:c r="C9" s="32" t="str">
        <x:v>B072ZZM7DN</x:v>
      </x:c>
      <x:c r="D9" s="32" t="str">
        <x:v>Dynen Women's Floral Print Off Shoulder Ruffle Party Long Maxi Dress</x:v>
      </x:c>
      <x:c r="E9" s="32" t="str">
        <x:v>Casual</x:v>
      </x:c>
      <x:c r="F9" s="32" t="str">
        <x:v>Clothing, Shoes &amp; Jewelry &gt; Women &gt; Clothing &gt; Dresses &gt; Casual</x:v>
      </x:c>
      <x:c r="G9" s="32" t="str"/>
      <x:c r="H9" s="32" t="str">
        <x:v>Dynen</x:v>
      </x:c>
      <x:c r="I9" s="32" t="str">
        <x:v>Womens</x:v>
      </x:c>
      <x:c r="J9" s="32" t="str"/>
      <x:c r="K9" s="32" t="str"/>
      <x:c r="L9" s="32" t="str"/>
      <x:c r="M9" s="32" t="str"/>
      <x:c r="N9" s="32" t="str">
        <x:v>95% Polyester, 5% Spandex Pull On closure Hand Wash Only "Tropical Flowers Dress" dress is made of Silky stretchy fabric that is very soft, light and cozy to wear that when you touch it it feels like summer. Occasion: Suitable for Hawaiian,</x:v>
      </x:c>
      <x:c r="O9" s="32" t="str">
        <x:v>This Floral Off Shoulder Maxi Dress is perfect for spring and summer! You can wear it casually or for a special occasion! Love the fabric and off shoulder style on this cute dress. Measurements Please check your measurements to make sure th</x:v>
      </x:c>
      <x:c r="P9" s="35" t="str"/>
      <x:c r="Q9" s="35" t="str"/>
      <x:c r="R9" s="35" t="str"/>
      <x:c r="S9" s="35" t="str"/>
      <x:c r="T9" s="35" t="str"/>
      <x:c r="U9" s="35" t="str"/>
      <x:c r="V9" s="35" t="str"/>
      <x:c r="W9" s="35" t="str"/>
      <x:c r="X9" s="35" t="str"/>
      <x:c r="Y9" s="35" t="str"/>
      <x:c r="Z9" s="35" t="str">
        <x:v>未开始</x:v>
      </x:c>
    </x:row>
    <x:row r="10" ht="55" customHeight="1">
      <x:c r="A10" s="32" t="n">
        <x:v>17</x:v>
      </x:c>
      <x:c r="B10" s="32" t="str">
        <x:v>审核员A</x:v>
      </x:c>
      <x:c r="C10" s="32" t="str">
        <x:v>B07DVCLXC4</x:v>
      </x:c>
      <x:c r="D10" s="32" t="str">
        <x:v>Soojun Men's Cotton Relaxed Fit Full Elastic Waist Pants, Navy, 38W × 32L</x:v>
      </x:c>
      <x:c r="E10" s="32" t="str">
        <x:v>Casual</x:v>
      </x:c>
      <x:c r="F10" s="32" t="str">
        <x:v>Clothing, Shoes &amp; Jewelry &gt; Men &gt; Clothing &gt; Pants &gt; Casual</x:v>
      </x:c>
      <x:c r="G10" s="32" t="str"/>
      <x:c r="H10" s="32" t="str">
        <x:v>Soojun</x:v>
      </x:c>
      <x:c r="I10" s="32" t="str">
        <x:v>Mens</x:v>
      </x:c>
      <x:c r="J10" s="32" t="str"/>
      <x:c r="K10" s="32" t="str"/>
      <x:c r="L10" s="32" t="str"/>
      <x:c r="M10" s="32" t="str"/>
      <x:c r="N10" s="32" t="str">
        <x:v>Slip On closure</x:v>
      </x:c>
      <x:c r="O10" s="32" t="str"/>
      <x:c r="P10" s="35" t="str"/>
      <x:c r="Q10" s="35" t="str"/>
      <x:c r="R10" s="35" t="str"/>
      <x:c r="S10" s="35" t="str"/>
      <x:c r="T10" s="35" t="str"/>
      <x:c r="U10" s="35" t="str"/>
      <x:c r="V10" s="35" t="str"/>
      <x:c r="W10" s="35" t="str"/>
      <x:c r="X10" s="35" t="str"/>
      <x:c r="Y10" s="35" t="str"/>
      <x:c r="Z10" s="35" t="str">
        <x:v>未开始</x:v>
      </x:c>
    </x:row>
    <x:row r="11" ht="55" customHeight="1">
      <x:c r="A11" s="32" t="n">
        <x:v>18</x:v>
      </x:c>
      <x:c r="B11" s="32" t="str">
        <x:v>审核员A</x:v>
      </x:c>
      <x:c r="C11" s="32" t="str">
        <x:v>B087PZV9YQ</x:v>
      </x:c>
      <x:c r="D11" s="32" t="str">
        <x:v>VIKITA Toddler Girls Dresses Sequin Heart Short Sleeve Girl Dress for Kids 6-7 Years SH4588</x:v>
      </x:c>
      <x:c r="E11" s="32" t="str">
        <x:v>Casual</x:v>
      </x:c>
      <x:c r="F11" s="32" t="str">
        <x:v>Clothing, Shoes &amp; Jewelry &gt; Girls &gt; Clothing &gt; Dresses &gt; Casual</x:v>
      </x:c>
      <x:c r="G11" s="32" t="str"/>
      <x:c r="H11" s="32" t="str">
        <x:v>VIKITA</x:v>
      </x:c>
      <x:c r="I11" s="32" t="str">
        <x:v>girls</x:v>
      </x:c>
      <x:c r="J11" s="32" t="str"/>
      <x:c r="K11" s="32" t="str"/>
      <x:c r="L11" s="32" t="str"/>
      <x:c r="M11" s="32" t="str"/>
      <x:c r="N11" s="32" t="str">
        <x:v>Machine Wash</x:v>
      </x:c>
      <x:c r="O11" s="32" t="str"/>
      <x:c r="P11" s="35" t="str"/>
      <x:c r="Q11" s="35" t="str"/>
      <x:c r="R11" s="35" t="str"/>
      <x:c r="S11" s="35" t="str"/>
      <x:c r="T11" s="35" t="str"/>
      <x:c r="U11" s="35" t="str"/>
      <x:c r="V11" s="35" t="str"/>
      <x:c r="W11" s="35" t="str"/>
      <x:c r="X11" s="35" t="str"/>
      <x:c r="Y11" s="35" t="str"/>
      <x:c r="Z11" s="35" t="str">
        <x:v>未开始</x:v>
      </x:c>
    </x:row>
    <x:row r="12" ht="55" customHeight="1">
      <x:c r="A12" s="32" t="n">
        <x:v>19</x:v>
      </x:c>
      <x:c r="B12" s="32" t="str">
        <x:v>审核员A</x:v>
      </x:c>
      <x:c r="C12" s="32" t="str">
        <x:v>B07XGMG5Y8</x:v>
      </x:c>
      <x:c r="D12" s="32" t="str">
        <x:v>Amazon Essentials Men's Skinny-Fit Lightweight Stretch Pant</x:v>
      </x:c>
      <x:c r="E12" s="32" t="str">
        <x:v>Casual</x:v>
      </x:c>
      <x:c r="F12" s="32" t="str">
        <x:v>Clothing, Shoes &amp; Jewelry &gt; Men &gt; Clothing &gt; Pants &gt; Casual</x:v>
      </x:c>
      <x:c r="G12" s="32" t="str"/>
      <x:c r="H12" s="32" t="str">
        <x:v>Amazon Essentials</x:v>
      </x:c>
      <x:c r="I12" s="32" t="str">
        <x:v>mens</x:v>
      </x:c>
      <x:c r="J12" s="32" t="str"/>
      <x:c r="K12" s="32" t="str"/>
      <x:c r="L12" s="32" t="str">
        <x:v>Amazon Essentials</x:v>
      </x:c>
      <x:c r="M12" s="32" t="str"/>
      <x:c r="N12" s="32" t="str">
        <x:v>97% Cotton, 3% Spandex Imported Button closure Machine Wash This easy-wearing pant features a classic look that shifts from weekday to weekend without missing a beat Everyday made better: we listen to customer feedback and fine-tune every d</x:v>
      </x:c>
      <x:c r="O12" s="32" t="str">
        <x:v>Amazon Essentials is focused on creating affordable, high-quality, and long-lasting everyday clothing you can rely on. Our line of men's must-haves includes polo shirts, chino pants, classic-fit shorts, casual button-downs, and crew-neck te</x:v>
      </x:c>
      <x:c r="P12" s="35" t="str"/>
      <x:c r="Q12" s="35" t="str"/>
      <x:c r="R12" s="35" t="str"/>
      <x:c r="S12" s="35" t="str"/>
      <x:c r="T12" s="35" t="str"/>
      <x:c r="U12" s="35" t="str"/>
      <x:c r="V12" s="35" t="str"/>
      <x:c r="W12" s="35" t="str"/>
      <x:c r="X12" s="35" t="str"/>
      <x:c r="Y12" s="35" t="str"/>
      <x:c r="Z12" s="35" t="str">
        <x:v>未开始</x:v>
      </x:c>
    </x:row>
    <x:row r="13" ht="55" customHeight="1">
      <x:c r="A13" s="32" t="n">
        <x:v>20</x:v>
      </x:c>
      <x:c r="B13" s="32" t="str">
        <x:v>审核员A</x:v>
      </x:c>
      <x:c r="C13" s="32" t="str">
        <x:v>B07SHDBZQC</x:v>
      </x:c>
      <x:c r="D13" s="32" t="str">
        <x:v>Aifer Women's Casual Crew Neck Sleeveless Tank Ruched Tulip Hem Ribbed Club Bodycon Short Mini Dress (Dark Gray, Large)</x:v>
      </x:c>
      <x:c r="E13" s="32" t="str">
        <x:v>Casual</x:v>
      </x:c>
      <x:c r="F13" s="32" t="str">
        <x:v>Clothing, Shoes &amp; Jewelry &gt; Women &gt; Clothing &gt; Dresses &gt; Casual</x:v>
      </x:c>
      <x:c r="G13" s="32" t="str"/>
      <x:c r="H13" s="32" t="str">
        <x:v>Aifer</x:v>
      </x:c>
      <x:c r="I13" s="32" t="str">
        <x:v>Womens</x:v>
      </x:c>
      <x:c r="J13" s="32" t="str"/>
      <x:c r="K13" s="32" t="str"/>
      <x:c r="L13" s="32" t="str"/>
      <x:c r="M13" s="32" t="str"/>
      <x:c r="N13" s="32" t="str">
        <x:v>95%Rayon，5% Spandex Pull On closure Hand Wash Only Features: Thanks to the pull on closure, this short dresses can be dressed up and down easily. This summer party dress designed with crew neckline, sleeveless, solid color, above the knee,a</x:v>
      </x:c>
      <x:c r="O13" s="32" t="str"/>
      <x:c r="P13" s="35" t="str"/>
      <x:c r="Q13" s="35" t="str"/>
      <x:c r="R13" s="35" t="str"/>
      <x:c r="S13" s="35" t="str"/>
      <x:c r="T13" s="35" t="str"/>
      <x:c r="U13" s="35" t="str"/>
      <x:c r="V13" s="35" t="str"/>
      <x:c r="W13" s="35" t="str"/>
      <x:c r="X13" s="35" t="str"/>
      <x:c r="Y13" s="35" t="str"/>
      <x:c r="Z13" s="35" t="str">
        <x:v>未开始</x:v>
      </x:c>
    </x:row>
    <x:row r="14" ht="55" customHeight="1">
      <x:c r="A14" s="32" t="n">
        <x:v>21</x:v>
      </x:c>
      <x:c r="B14" s="32" t="str">
        <x:v>审核员A</x:v>
      </x:c>
      <x:c r="C14" s="32" t="str">
        <x:v>B00OI0CBJQ</x:v>
      </x:c>
      <x:c r="D14" s="32" t="str">
        <x:v>Michael Kors Women's Parker Two-Tone Watch MK6055</x:v>
      </x:c>
      <x:c r="E14" s="32" t="str">
        <x:v>Wrist Watches</x:v>
      </x:c>
      <x:c r="F14" s="32" t="str">
        <x:v>Clothing, Shoes &amp; Jewelry &gt; Women &gt; Watches &gt; Wrist Watches</x:v>
      </x:c>
      <x:c r="G14" s="32" t="str">
        <x:v>165.0</x:v>
      </x:c>
      <x:c r="H14" s="32" t="str">
        <x:v>Michael Kors</x:v>
      </x:c>
      <x:c r="I14" s="32" t="str">
        <x:v>Womens</x:v>
      </x:c>
      <x:c r="J14" s="32" t="str"/>
      <x:c r="K14" s="32" t="str"/>
      <x:c r="L14" s="32" t="str">
        <x:v>Michael Kors Watches MFG Code</x:v>
      </x:c>
      <x:c r="M14" s="32" t="str"/>
      <x:c r="N14" s="32" t="str">
        <x:v>Two-tone bracelet watch featuring crystal-embellished bezel and textured dial with crystal markers and three subdials 33-mm stainless steel case with mineral dial window Quartz movement with analog display Stainless steel bracelet with fold</x:v>
      </x:c>
      <x:c r="O14" s="32" t="str">
        <x:v>This two-tone stainless steel Michael Kors watch doubles up on sparkle with a pave crystal top ring and indexes. Length adjusts by having links removed.</x:v>
      </x:c>
      <x:c r="P14" s="35" t="str"/>
      <x:c r="Q14" s="35" t="str"/>
      <x:c r="R14" s="35" t="str"/>
      <x:c r="S14" s="35" t="str"/>
      <x:c r="T14" s="35" t="str"/>
      <x:c r="U14" s="35" t="str"/>
      <x:c r="V14" s="35" t="str"/>
      <x:c r="W14" s="35" t="str"/>
      <x:c r="X14" s="35" t="str"/>
      <x:c r="Y14" s="35" t="str"/>
      <x:c r="Z14" s="35" t="str">
        <x:v>未开始</x:v>
      </x:c>
    </x:row>
    <x:row r="15" ht="55" customHeight="1">
      <x:c r="A15" s="32" t="n">
        <x:v>22</x:v>
      </x:c>
      <x:c r="B15" s="32" t="str">
        <x:v>审核员A</x:v>
      </x:c>
      <x:c r="C15" s="32" t="str">
        <x:v>B00ID649CI</x:v>
      </x:c>
      <x:c r="D15" s="32" t="str">
        <x:v>Columbia Men's CT009-005 Venture Digital Display Quartz Black Watch</x:v>
      </x:c>
      <x:c r="E15" s="32" t="str">
        <x:v>Wrist Watches</x:v>
      </x:c>
      <x:c r="F15" s="32" t="str">
        <x:v>Clothing, Shoes &amp; Jewelry &gt; Men &gt; Watches &gt; Wrist Watches</x:v>
      </x:c>
      <x:c r="G15" s="32" t="str"/>
      <x:c r="H15" s="32" t="str">
        <x:v>Columbia</x:v>
      </x:c>
      <x:c r="I15" s="32" t="str">
        <x:v>mens</x:v>
      </x:c>
      <x:c r="J15" s="32" t="str"/>
      <x:c r="K15" s="32" t="str"/>
      <x:c r="L15" s="32" t="str">
        <x:v>Columbia</x:v>
      </x:c>
      <x:c r="M15" s="32" t="str"/>
      <x:c r="N15" s="32" t="str">
        <x:v>Compass; luminous dial Rotating bezel Stop watch Alarm mode Water-resistant to 30 m (30 feet)</x:v>
      </x:c>
      <x:c r="O15" s="32" t="str">
        <x:v>Columbia has been dedicated to creating innovative, rugged sportswear and accessories for outdoors enthusiasts for more than 70 years. The people behind the brand bring their personal passion for the outdoors to everything they do, meaning </x:v>
      </x:c>
      <x:c r="P15" s="35" t="str"/>
      <x:c r="Q15" s="35" t="str"/>
      <x:c r="R15" s="35" t="str"/>
      <x:c r="S15" s="35" t="str"/>
      <x:c r="T15" s="35" t="str"/>
      <x:c r="U15" s="35" t="str"/>
      <x:c r="V15" s="35" t="str"/>
      <x:c r="W15" s="35" t="str"/>
      <x:c r="X15" s="35" t="str"/>
      <x:c r="Y15" s="35" t="str"/>
      <x:c r="Z15" s="35" t="str">
        <x:v>未开始</x:v>
      </x:c>
    </x:row>
    <x:row r="16" ht="55" customHeight="1">
      <x:c r="A16" s="32" t="n">
        <x:v>23</x:v>
      </x:c>
      <x:c r="B16" s="32" t="str">
        <x:v>审核员A</x:v>
      </x:c>
      <x:c r="C16" s="32" t="str">
        <x:v>B07FMKRLHW</x:v>
      </x:c>
      <x:c r="D16" s="32" t="str">
        <x:v>Unique LED Watch Fashion Sport Digital Watch for Boys Girls Men Women Wristwatch - Pink</x:v>
      </x:c>
      <x:c r="E16" s="32" t="str">
        <x:v>Wrist Watches</x:v>
      </x:c>
      <x:c r="F16" s="32" t="str">
        <x:v>Clothing, Shoes &amp; Jewelry &gt; Men &gt; Watches &gt; Wrist Watches</x:v>
      </x:c>
      <x:c r="G16" s="32" t="str"/>
      <x:c r="H16" s="32" t="str">
        <x:v>SKMEI</x:v>
      </x:c>
      <x:c r="I16" s="32" t="str">
        <x:v>Unisex-adult</x:v>
      </x:c>
      <x:c r="J16" s="32" t="str"/>
      <x:c r="K16" s="32" t="str"/>
      <x:c r="L16" s="32" t="str">
        <x:v>SKMEI</x:v>
      </x:c>
      <x:c r="M16" s="32" t="str"/>
      <x:c r="N16" s="32" t="str"/>
      <x:c r="O16" s="32" t="str"/>
      <x:c r="P16" s="35" t="str"/>
      <x:c r="Q16" s="35" t="str"/>
      <x:c r="R16" s="35" t="str"/>
      <x:c r="S16" s="35" t="str"/>
      <x:c r="T16" s="35" t="str"/>
      <x:c r="U16" s="35" t="str"/>
      <x:c r="V16" s="35" t="str"/>
      <x:c r="W16" s="35" t="str"/>
      <x:c r="X16" s="35" t="str"/>
      <x:c r="Y16" s="35" t="str"/>
      <x:c r="Z16" s="35" t="str">
        <x:v>未开始</x:v>
      </x:c>
    </x:row>
    <x:row r="17" ht="55" customHeight="1">
      <x:c r="A17" s="32" t="n">
        <x:v>24</x:v>
      </x:c>
      <x:c r="B17" s="32" t="str">
        <x:v>审核员A</x:v>
      </x:c>
      <x:c r="C17" s="32" t="str">
        <x:v>B004O6Z9EI</x:v>
      </x:c>
      <x:c r="D17" s="32" t="str">
        <x:v>Armitron Men's 20/4507SVTT Genuine Crystal Two-Tone Dress Bracelet Watch</x:v>
      </x:c>
      <x:c r="E17" s="32" t="str">
        <x:v>Wrist Watches</x:v>
      </x:c>
      <x:c r="F17" s="32" t="str">
        <x:v>Clothing, Shoes &amp; Jewelry &gt; Men &gt; Watches &gt; Wrist Watches</x:v>
      </x:c>
      <x:c r="G17" s="32" t="str"/>
      <x:c r="H17" s="32" t="str">
        <x:v>Armitron</x:v>
      </x:c>
      <x:c r="I17" s="32" t="str">
        <x:v>Mens</x:v>
      </x:c>
      <x:c r="J17" s="32" t="str"/>
      <x:c r="K17" s="32" t="str"/>
      <x:c r="L17" s="32" t="str">
        <x:v>Armitron</x:v>
      </x:c>
      <x:c r="M17" s="32" t="str"/>
      <x:c r="N17" s="32" t="str">
        <x:v>Silver-tone dial with 8 genuine crystal markers at 12-3-6-9 Gold-tone hour hands Sweep second hand Two-tone adjustable bracelet with one touch two button fold over clasp Water resistant to 165 feet (50 M): suitable for swimming and showerin</x:v>
      </x:c>
      <x:c r="O17" s="32" t="str">
        <x:v>Classy and reliable, this watch adds a level of sophistication to the modern man's wardrobe. This two-tone Armitron timepiece shows off a rectangular dial that looks great with a dress shirt and adds class to everyday wear.</x:v>
      </x:c>
      <x:c r="P17" s="35" t="str"/>
      <x:c r="Q17" s="35" t="str"/>
      <x:c r="R17" s="35" t="str"/>
      <x:c r="S17" s="35" t="str"/>
      <x:c r="T17" s="35" t="str"/>
      <x:c r="U17" s="35" t="str"/>
      <x:c r="V17" s="35" t="str"/>
      <x:c r="W17" s="35" t="str"/>
      <x:c r="X17" s="35" t="str"/>
      <x:c r="Y17" s="35" t="str"/>
      <x:c r="Z17" s="35" t="str">
        <x:v>未开始</x:v>
      </x:c>
    </x:row>
    <x:row r="18" ht="55" customHeight="1">
      <x:c r="A18" s="32" t="n">
        <x:v>25</x:v>
      </x:c>
      <x:c r="B18" s="32" t="str">
        <x:v>审核员A</x:v>
      </x:c>
      <x:c r="C18" s="32" t="str">
        <x:v>B002C1B7KM</x:v>
      </x:c>
      <x:c r="D18" s="32" t="str">
        <x:v>K&amp;BROS Women's 9544-4M LIFETIME Digital Orange Silicon Watch</x:v>
      </x:c>
      <x:c r="E18" s="32" t="str">
        <x:v>Wrist Watches</x:v>
      </x:c>
      <x:c r="F18" s="32" t="str">
        <x:v>Clothing, Shoes &amp; Jewelry &gt; Women &gt; Watches &gt; Wrist Watches</x:v>
      </x:c>
      <x:c r="G18" s="32" t="str"/>
      <x:c r="H18" s="32" t="str">
        <x:v>K&amp;Bros</x:v>
      </x:c>
      <x:c r="I18" s="32" t="str">
        <x:v>womens</x:v>
      </x:c>
      <x:c r="J18" s="32" t="str"/>
      <x:c r="K18" s="32" t="str"/>
      <x:c r="L18" s="32" t="str">
        <x:v>K&amp;BROS</x:v>
      </x:c>
      <x:c r="M18" s="32" t="str"/>
      <x:c r="N18" s="32" t="str">
        <x:v>Made in China, Italian design; precise Digital quartz movement Protective plastic blister protects watch movement from water and liquids Case diameter : 22.5 mm Elastic silicon band; digital clear crystals dial; chronometer, day, month and </x:v>
      </x:c>
      <x:c r="O18" s="32" t="str">
        <x:v>Complete with a plastic "blister" that protects the movement from water or other liquids and boasting an edgy Italian design, the K&amp;BROS Women's LIFETIME Digital Orange Silicon Watch #9544-4M is a straightforward, sporty timepiece with atti</x:v>
      </x:c>
      <x:c r="P18" s="35" t="str"/>
      <x:c r="Q18" s="35" t="str"/>
      <x:c r="R18" s="35" t="str"/>
      <x:c r="S18" s="35" t="str"/>
      <x:c r="T18" s="35" t="str"/>
      <x:c r="U18" s="35" t="str"/>
      <x:c r="V18" s="35" t="str"/>
      <x:c r="W18" s="35" t="str"/>
      <x:c r="X18" s="35" t="str"/>
      <x:c r="Y18" s="35" t="str"/>
      <x:c r="Z18" s="35" t="str">
        <x:v>未开始</x:v>
      </x:c>
    </x:row>
    <x:row r="19" ht="55" customHeight="1">
      <x:c r="A19" s="32" t="n">
        <x:v>26</x:v>
      </x:c>
      <x:c r="B19" s="32" t="str">
        <x:v>审核员A</x:v>
      </x:c>
      <x:c r="C19" s="32" t="str">
        <x:v>B083NKWX42</x:v>
      </x:c>
      <x:c r="D19" s="32" t="str">
        <x:v>JENN ARDOR Comfortable Women's Platform Low Top Sneakers Lace Up Casual Canvas Shoes Walking Flats for Women</x:v>
      </x:c>
      <x:c r="E19" s="32" t="str">
        <x:v>Fashion Sneakers</x:v>
      </x:c>
      <x:c r="F19" s="32" t="str">
        <x:v>Clothing, Shoes &amp; Jewelry &gt; Women &gt; Shoes &gt; Fashion Sneakers</x:v>
      </x:c>
      <x:c r="G19" s="32" t="str"/>
      <x:c r="H19" s="32" t="str">
        <x:v>JENN ARDOR</x:v>
      </x:c>
      <x:c r="I19" s="32" t="str">
        <x:v>womens</x:v>
      </x:c>
      <x:c r="J19" s="32" t="str"/>
      <x:c r="K19" s="32" t="str"/>
      <x:c r="L19" s="32" t="str"/>
      <x:c r="M19" s="32" t="str"/>
      <x:c r="N19" s="32" t="str">
        <x:v>Rubber sole New upgrade: the 1.24 inch high rubber sole gives you a different experience. The antiskid rubber sole has been adjusted and improved several times by us to give you a more comfortable feeling and stability. Timeless style: In a</x:v>
      </x:c>
      <x:c r="O19" s="32" t="str"/>
      <x:c r="P19" s="35" t="str"/>
      <x:c r="Q19" s="35" t="str"/>
      <x:c r="R19" s="35" t="str"/>
      <x:c r="S19" s="35" t="str"/>
      <x:c r="T19" s="35" t="str"/>
      <x:c r="U19" s="35" t="str"/>
      <x:c r="V19" s="35" t="str"/>
      <x:c r="W19" s="35" t="str"/>
      <x:c r="X19" s="35" t="str"/>
      <x:c r="Y19" s="35" t="str"/>
      <x:c r="Z19" s="35" t="str">
        <x:v>未开始</x:v>
      </x:c>
    </x:row>
    <x:row r="20" ht="55" customHeight="1">
      <x:c r="A20" s="32" t="n">
        <x:v>27</x:v>
      </x:c>
      <x:c r="B20" s="32" t="str">
        <x:v>审核员A</x:v>
      </x:c>
      <x:c r="C20" s="32" t="str">
        <x:v>B095ZSYL1P</x:v>
      </x:c>
      <x:c r="D20" s="32" t="str">
        <x:v>MARC JOSEPH NEW YORK Mens Fashion Sneakers Non Slip Removable Insole Breathable Comfortable Classic Business Casual Laceup Shoes</x:v>
      </x:c>
      <x:c r="E20" s="32" t="str">
        <x:v>Fashion Sneakers</x:v>
      </x:c>
      <x:c r="F20" s="32" t="str">
        <x:v>Clothing, Shoes &amp; Jewelry &gt; Men &gt; Shoes &gt; Fashion Sneakers</x:v>
      </x:c>
      <x:c r="G20" s="32" t="str">
        <x:v>29.95</x:v>
      </x:c>
      <x:c r="H20" s="32" t="str">
        <x:v>MARC JOSEPH NEW YORK</x:v>
      </x:c>
      <x:c r="I20" s="32" t="str">
        <x:v>Mens</x:v>
      </x:c>
      <x:c r="J20" s="32" t="str"/>
      <x:c r="K20" s="32" t="str"/>
      <x:c r="L20" s="32" t="str"/>
      <x:c r="M20" s="32" t="str"/>
      <x:c r="N20" s="32" t="str">
        <x:v>Leather sole TRUE TO SIZE.IF IN BETWEEN SIZES ORDER HALF SIZE DOWN (SIZE 9.5 ORDERS SIZE 9) PREMIUM QUALITY:Designed in NYC and Handcrafted in Brazil,our footwear is hand-stitched and crafted from premier quality leathers using state of the</x:v>
      </x:c>
      <x:c r="O20" s="32" t="str"/>
      <x:c r="P20" s="35" t="str"/>
      <x:c r="Q20" s="35" t="str"/>
      <x:c r="R20" s="35" t="str"/>
      <x:c r="S20" s="35" t="str"/>
      <x:c r="T20" s="35" t="str"/>
      <x:c r="U20" s="35" t="str"/>
      <x:c r="V20" s="35" t="str"/>
      <x:c r="W20" s="35" t="str"/>
      <x:c r="X20" s="35" t="str"/>
      <x:c r="Y20" s="35" t="str"/>
      <x:c r="Z20" s="35" t="str">
        <x:v>未开始</x:v>
      </x:c>
    </x:row>
    <x:row r="21" ht="55" customHeight="1">
      <x:c r="A21" s="32" t="n">
        <x:v>28</x:v>
      </x:c>
      <x:c r="B21" s="32" t="str">
        <x:v>审核员A</x:v>
      </x:c>
      <x:c r="C21" s="32" t="str">
        <x:v>B0CB27GMQS</x:v>
      </x:c>
      <x:c r="D21" s="32" t="str">
        <x:v>Fila mens Disruptor 2 No-sew</x:v>
      </x:c>
      <x:c r="E21" s="32" t="str">
        <x:v>Fashion Sneakers</x:v>
      </x:c>
      <x:c r="F21" s="32" t="str">
        <x:v>Clothing, Shoes &amp; Jewelry &gt; Men &gt; Shoes &gt; Fashion Sneakers</x:v>
      </x:c>
      <x:c r="G21" s="32" t="str">
        <x:v>69.9</x:v>
      </x:c>
      <x:c r="H21" s="32" t="str">
        <x:v>Fila</x:v>
      </x:c>
      <x:c r="I21" s="32" t="str">
        <x:v>mens</x:v>
      </x:c>
      <x:c r="J21" s="32" t="str"/>
      <x:c r="K21" s="32" t="str"/>
      <x:c r="L21" s="32" t="str">
        <x:v>Fila</x:v>
      </x:c>
      <x:c r="M21" s="32" t="str"/>
      <x:c r="N21" s="32" t="str">
        <x:v>100% Leather Lace-Up closure Machine Wash Be bold and provocative. Remain vintage, but never conventional. Radiate sophistication and style without sacrificing performance. Inspired by vintage athletic wear. Retro looks, with classic stylin</x:v>
      </x:c>
      <x:c r="O21" s="32" t="str">
        <x:v>Fila's transformation into a leading global designer of high-end sportswear has been one of continual evolution driven by a philosophy of innovation that lies at the heart of their most successful designs. Fila has enjoyed a special relatio</x:v>
      </x:c>
      <x:c r="P21" s="35" t="str"/>
      <x:c r="Q21" s="35" t="str"/>
      <x:c r="R21" s="35" t="str"/>
      <x:c r="S21" s="35" t="str"/>
      <x:c r="T21" s="35" t="str"/>
      <x:c r="U21" s="35" t="str"/>
      <x:c r="V21" s="35" t="str"/>
      <x:c r="W21" s="35" t="str"/>
      <x:c r="X21" s="35" t="str"/>
      <x:c r="Y21" s="35" t="str"/>
      <x:c r="Z21" s="35" t="str">
        <x:v>未开始</x:v>
      </x:c>
    </x:row>
    <x:row r="22" ht="55" customHeight="1">
      <x:c r="A22" s="32" t="n">
        <x:v>29</x:v>
      </x:c>
      <x:c r="B22" s="32" t="str">
        <x:v>审核员A</x:v>
      </x:c>
      <x:c r="C22" s="32" t="str">
        <x:v>B00AR9656M</x:v>
      </x:c>
      <x:c r="D22" s="32" t="str">
        <x:v>K-SWISS Women's The Classic Lite Fashion Sneaker</x:v>
      </x:c>
      <x:c r="E22" s="32" t="str">
        <x:v>Fashion Sneakers</x:v>
      </x:c>
      <x:c r="F22" s="32" t="str">
        <x:v>Clothing, Shoes &amp; Jewelry &gt; Women &gt; Shoes &gt; Fashion Sneakers</x:v>
      </x:c>
      <x:c r="G22" s="32" t="str"/>
      <x:c r="H22" s="32" t="str">
        <x:v>K-Swiss</x:v>
      </x:c>
      <x:c r="I22" s="32" t="str">
        <x:v>Womens</x:v>
      </x:c>
      <x:c r="J22" s="32" t="str"/>
      <x:c r="K22" s="32" t="str"/>
      <x:c r="L22" s="32" t="str">
        <x:v>K-Swiss</x:v>
      </x:c>
      <x:c r="M22" s="32" t="str"/>
      <x:c r="N22" s="32" t="str">
        <x:v>100% Synthetic Imported Synthetic sole K-SWISS THE CLASSIC LITE</x:v>
      </x:c>
      <x:c r="O22" s="32" t="str">
        <x:v>K-Swiss is a heritage American tennis brand founded by two Swiss brothers who moved to California to pursue their dream of starting a footwear company. After 50 years of representing the best of on court performance and off court style, K-S</x:v>
      </x:c>
      <x:c r="P22" s="35" t="str"/>
      <x:c r="Q22" s="35" t="str"/>
      <x:c r="R22" s="35" t="str"/>
      <x:c r="S22" s="35" t="str"/>
      <x:c r="T22" s="35" t="str"/>
      <x:c r="U22" s="35" t="str"/>
      <x:c r="V22" s="35" t="str"/>
      <x:c r="W22" s="35" t="str"/>
      <x:c r="X22" s="35" t="str"/>
      <x:c r="Y22" s="35" t="str"/>
      <x:c r="Z22" s="35" t="str">
        <x:v>未开始</x:v>
      </x:c>
    </x:row>
    <x:row r="23" ht="55" customHeight="1">
      <x:c r="A23" s="32" t="n">
        <x:v>30</x:v>
      </x:c>
      <x:c r="B23" s="32" t="str">
        <x:v>审核员A</x:v>
      </x:c>
      <x:c r="C23" s="32" t="str">
        <x:v>B07X5Z6CVC</x:v>
      </x:c>
      <x:c r="D23" s="32" t="str">
        <x:v>Hybrid Green Label Men's Trek High Top Athletic Casual Tennis Hiking Walking Working Shoes, Sneakers, and Boots</x:v>
      </x:c>
      <x:c r="E23" s="32" t="str">
        <x:v>Fashion Sneakers</x:v>
      </x:c>
      <x:c r="F23" s="32" t="str">
        <x:v>Clothing, Shoes &amp; Jewelry &gt; Men &gt; Shoes &gt; Fashion Sneakers</x:v>
      </x:c>
      <x:c r="G23" s="32" t="str"/>
      <x:c r="H23" s="32" t="str">
        <x:v>VINTAGE FOUNDRY CO. EST. 2014</x:v>
      </x:c>
      <x:c r="I23" s="32" t="str"/>
      <x:c r="J23" s="32" t="str"/>
      <x:c r="K23" s="32" t="str"/>
      <x:c r="L23" s="32" t="str"/>
      <x:c r="M23" s="32" t="str"/>
      <x:c r="N23" s="32" t="str">
        <x:v>Rubber, rubber sole Shaft measures approximately 4.5" from arch Heel measures approximately 1" FASHION STYLE &amp; DESIGN: The best view comes after the hardest climb! Lace up the Trek Sneakers and get going on your next adventure. Sporting a s</x:v>
      </x:c>
      <x:c r="O23" s="32" t="str"/>
      <x:c r="P23" s="35" t="str"/>
      <x:c r="Q23" s="35" t="str"/>
      <x:c r="R23" s="35" t="str"/>
      <x:c r="S23" s="35" t="str"/>
      <x:c r="T23" s="35" t="str"/>
      <x:c r="U23" s="35" t="str"/>
      <x:c r="V23" s="35" t="str"/>
      <x:c r="W23" s="35" t="str"/>
      <x:c r="X23" s="35" t="str"/>
      <x:c r="Y23" s="35" t="str"/>
      <x:c r="Z23" s="35" t="str">
        <x:v>未开始</x:v>
      </x:c>
    </x:row>
    <x:row r="24" ht="55" customHeight="1">
      <x:c r="A24" s="32" t="n">
        <x:v>31</x:v>
      </x:c>
      <x:c r="B24" s="32" t="str">
        <x:v>审核员B</x:v>
      </x:c>
      <x:c r="C24" s="32" t="str">
        <x:v>B077137QVT</x:v>
      </x:c>
      <x:c r="D24" s="32" t="str">
        <x:v>The Fix Women's Sonya Scrunch Metallic Ballet Flat</x:v>
      </x:c>
      <x:c r="E24" s="32" t="str">
        <x:v>Flats</x:v>
      </x:c>
      <x:c r="F24" s="32" t="str">
        <x:v>Clothing, Shoes &amp; Jewelry &gt; Women &gt; Shoes &gt; Flats</x:v>
      </x:c>
      <x:c r="G24" s="32" t="str"/>
      <x:c r="H24" s="32" t="str">
        <x:v>The Fix</x:v>
      </x:c>
      <x:c r="I24" s="32" t="str">
        <x:v>Womens</x:v>
      </x:c>
      <x:c r="J24" s="32" t="str"/>
      <x:c r="K24" s="32" t="str"/>
      <x:c r="L24" s="32" t="str">
        <x:v>The Fix</x:v>
      </x:c>
      <x:c r="M24" s="32" t="str"/>
      <x:c r="N24" s="32" t="str">
        <x:v>100% Leather Imported Synthetic sole The classic ballet flat is fashioned from eye-catching metallic crackled leather with a pointed toe for a chic look</x:v>
      </x:c>
      <x:c r="O24" s="32" t="str">
        <x:v>An Amazon brand - The classic ballet flat is fashioned from eye-catching metallic crackled leather with a pointed toe for a chic look The Fix believes that a girl can never have too many shoes, bags, or instagram followers, which is why our</x:v>
      </x:c>
      <x:c r="P24" s="35" t="str"/>
      <x:c r="Q24" s="35" t="str"/>
      <x:c r="R24" s="35" t="str"/>
      <x:c r="S24" s="35" t="str"/>
      <x:c r="T24" s="35" t="str"/>
      <x:c r="U24" s="35" t="str"/>
      <x:c r="V24" s="35" t="str"/>
      <x:c r="W24" s="35" t="str"/>
      <x:c r="X24" s="35" t="str"/>
      <x:c r="Y24" s="35" t="str"/>
      <x:c r="Z24" s="35" t="str">
        <x:v>未开始</x:v>
      </x:c>
    </x:row>
    <x:row r="25" ht="55" customHeight="1">
      <x:c r="A25" s="32" t="n">
        <x:v>32</x:v>
      </x:c>
      <x:c r="B25" s="32" t="str">
        <x:v>审核员B</x:v>
      </x:c>
      <x:c r="C25" s="32" t="str">
        <x:v>B00DU0KJIU</x:v>
      </x:c>
      <x:c r="D25" s="32" t="str">
        <x:v>Clarks Women's Ashland India Mary Jane Flat</x:v>
      </x:c>
      <x:c r="E25" s="32" t="str">
        <x:v>Flats</x:v>
      </x:c>
      <x:c r="F25" s="32" t="str">
        <x:v>Clothing, Shoes &amp; Jewelry &gt; Women &gt; Shoes &gt; Flats</x:v>
      </x:c>
      <x:c r="G25" s="32" t="str"/>
      <x:c r="H25" s="32" t="str">
        <x:v>Clarks</x:v>
      </x:c>
      <x:c r="I25" s="32" t="str">
        <x:v>womens</x:v>
      </x:c>
      <x:c r="J25" s="32" t="str"/>
      <x:c r="K25" s="32" t="str"/>
      <x:c r="L25" s="32" t="str">
        <x:v>Clarks</x:v>
      </x:c>
      <x:c r="M25" s="32" t="str"/>
      <x:c r="N25" s="32" t="str">
        <x:v>100% Leather Imported Synthetic sole Heel measures approximately 1" Platform measures approximately 0.5" Sophisticated flat with open, strappy design and antiqued metal details</x:v>
      </x:c>
      <x:c r="O25" s="32" t="str">
        <x:v>Clarks has been in business for over 100 years making very fine men's dress shoes in a variety of styles. Featuring a wide range of top-quality components, Clarks gives you the options you desire in the quality you demand.</x:v>
      </x:c>
      <x:c r="P25" s="35" t="str"/>
      <x:c r="Q25" s="35" t="str"/>
      <x:c r="R25" s="35" t="str"/>
      <x:c r="S25" s="35" t="str"/>
      <x:c r="T25" s="35" t="str"/>
      <x:c r="U25" s="35" t="str"/>
      <x:c r="V25" s="35" t="str"/>
      <x:c r="W25" s="35" t="str"/>
      <x:c r="X25" s="35" t="str"/>
      <x:c r="Y25" s="35" t="str"/>
      <x:c r="Z25" s="35" t="str">
        <x:v>未开始</x:v>
      </x:c>
    </x:row>
    <x:row r="26" ht="55" customHeight="1">
      <x:c r="A26" s="32" t="n">
        <x:v>33</x:v>
      </x:c>
      <x:c r="B26" s="32" t="str">
        <x:v>审核员B</x:v>
      </x:c>
      <x:c r="C26" s="32" t="str">
        <x:v>B09SQF8TJJ</x:v>
      </x:c>
      <x:c r="D26" s="32" t="str">
        <x:v>Arezzo Women's Aurora Flat Sandal</x:v>
      </x:c>
      <x:c r="E26" s="32" t="str">
        <x:v>Flats</x:v>
      </x:c>
      <x:c r="F26" s="32" t="str">
        <x:v>Clothing, Shoes &amp; Jewelry &gt; Women &gt; Shoes &gt; Sandals &gt; Flats</x:v>
      </x:c>
      <x:c r="G26" s="32" t="str">
        <x:v>69.0</x:v>
      </x:c>
      <x:c r="H26" s="32" t="str">
        <x:v>Arezzo</x:v>
      </x:c>
      <x:c r="I26" s="32" t="str">
        <x:v>womens</x:v>
      </x:c>
      <x:c r="J26" s="32" t="str"/>
      <x:c r="K26" s="32" t="str"/>
      <x:c r="L26" s="32" t="str"/>
      <x:c r="M26" s="32" t="str"/>
      <x:c r="N26" s="32" t="str">
        <x:v>Rubber sole Synthetic Insole: This tough rubber material makes for a luxe appeal and made for day to day wear Strappy Sandal: Delicate balance of rhinestoned and braided straps that meet together to a stylish centered knot. Slip-On: Take th</x:v>
      </x:c>
      <x:c r="O26" s="32" t="str">
        <x:v>Move with the Aurora. This mixed media slide sandal has every detail imagined from rhinestones and braided straps to a striking centered knot. This trendy style is handcrafted to make you stand out in the crowd that you can use day to day a</x:v>
      </x:c>
      <x:c r="P26" s="35" t="str"/>
      <x:c r="Q26" s="35" t="str"/>
      <x:c r="R26" s="35" t="str"/>
      <x:c r="S26" s="35" t="str"/>
      <x:c r="T26" s="35" t="str"/>
      <x:c r="U26" s="35" t="str"/>
      <x:c r="V26" s="35" t="str"/>
      <x:c r="W26" s="35" t="str"/>
      <x:c r="X26" s="35" t="str"/>
      <x:c r="Y26" s="35" t="str"/>
      <x:c r="Z26" s="35" t="str">
        <x:v>未开始</x:v>
      </x:c>
    </x:row>
    <x:row r="27" ht="55" customHeight="1">
      <x:c r="A27" s="32" t="n">
        <x:v>34</x:v>
      </x:c>
      <x:c r="B27" s="32" t="str">
        <x:v>审核员B</x:v>
      </x:c>
      <x:c r="C27" s="32" t="str">
        <x:v>B008KLHRRK</x:v>
      </x:c>
      <x:c r="D27" s="32" t="str">
        <x:v>Dansko Women's Jovie Sandal</x:v>
      </x:c>
      <x:c r="E27" s="32" t="str">
        <x:v>Flats</x:v>
      </x:c>
      <x:c r="F27" s="32" t="str">
        <x:v>Clothing, Shoes &amp; Jewelry &gt; Women &gt; Shoes &gt; Sandals &gt; Flats</x:v>
      </x:c>
      <x:c r="G27" s="32" t="str"/>
      <x:c r="H27" s="32" t="str">
        <x:v>Dansko</x:v>
      </x:c>
      <x:c r="I27" s="32" t="str"/>
      <x:c r="J27" s="32" t="str"/>
      <x:c r="K27" s="32" t="str"/>
      <x:c r="L27" s="32" t="str"/>
      <x:c r="M27" s="32" t="str"/>
      <x:c r="N27" s="32" t="str">
        <x:v>100% Leather Imported Synthetic sole Strappy leather sandal featuring metallic studs and adjustable backstrap with hook-and-loop closure Molded cork midsole Padded footbed</x:v>
      </x:c>
      <x:c r="O27" s="32" t="str"/>
      <x:c r="P27" s="35" t="str"/>
      <x:c r="Q27" s="35" t="str"/>
      <x:c r="R27" s="35" t="str"/>
      <x:c r="S27" s="35" t="str"/>
      <x:c r="T27" s="35" t="str"/>
      <x:c r="U27" s="35" t="str"/>
      <x:c r="V27" s="35" t="str"/>
      <x:c r="W27" s="35" t="str"/>
      <x:c r="X27" s="35" t="str"/>
      <x:c r="Y27" s="35" t="str"/>
      <x:c r="Z27" s="35" t="str">
        <x:v>未开始</x:v>
      </x:c>
    </x:row>
    <x:row r="28" ht="55" customHeight="1">
      <x:c r="A28" s="32" t="n">
        <x:v>35</x:v>
      </x:c>
      <x:c r="B28" s="32" t="str">
        <x:v>审核员B</x:v>
      </x:c>
      <x:c r="C28" s="32" t="str">
        <x:v>B07NQBPB3N</x:v>
      </x:c>
      <x:c r="D28" s="32" t="str">
        <x:v>Wollanlily Women Summer Flat Sandals Bohemia T-Strap Elastic Back Beach Thong Flip Flop Shoes Apricot US 5.5</x:v>
      </x:c>
      <x:c r="E28" s="32" t="str">
        <x:v>Flats</x:v>
      </x:c>
      <x:c r="F28" s="32" t="str">
        <x:v>Clothing, Shoes &amp; Jewelry &gt; Women &gt; Shoes &gt; Sandals &gt; Flats</x:v>
      </x:c>
      <x:c r="G28" s="32" t="str"/>
      <x:c r="H28" s="32" t="str">
        <x:v>Wollanlily</x:v>
      </x:c>
      <x:c r="I28" s="32" t="str">
        <x:v>Womens</x:v>
      </x:c>
      <x:c r="J28" s="32" t="str"/>
      <x:c r="K28" s="32" t="str"/>
      <x:c r="L28" s="32" t="str"/>
      <x:c r="M28" s="32" t="str"/>
      <x:c r="N28" s="32" t="str"/>
      <x:c r="O28" s="32" t="str"/>
      <x:c r="P28" s="35" t="str"/>
      <x:c r="Q28" s="35" t="str"/>
      <x:c r="R28" s="35" t="str"/>
      <x:c r="S28" s="35" t="str"/>
      <x:c r="T28" s="35" t="str"/>
      <x:c r="U28" s="35" t="str"/>
      <x:c r="V28" s="35" t="str"/>
      <x:c r="W28" s="35" t="str"/>
      <x:c r="X28" s="35" t="str"/>
      <x:c r="Y28" s="35" t="str"/>
      <x:c r="Z28" s="35" t="str">
        <x:v>未开始</x:v>
      </x:c>
    </x:row>
    <x:row r="29" ht="55" customHeight="1">
      <x:c r="A29" s="32" t="n">
        <x:v>36</x:v>
      </x:c>
      <x:c r="B29" s="32" t="str">
        <x:v>审核员B</x:v>
      </x:c>
      <x:c r="C29" s="32" t="str">
        <x:v>B08SS3KDSQ</x:v>
      </x:c>
      <x:c r="D29" s="32" t="str">
        <x:v>The Drop Women's Zebra Print Long-Sleeve Button-Down Shirt by @wearetwinset</x:v>
      </x:c>
      <x:c r="E29" s="32" t="str">
        <x:v>Blouses &amp; Button-Down Shirts</x:v>
      </x:c>
      <x:c r="F29" s="32" t="str">
        <x:v>Clothing, Shoes &amp; Jewelry &gt; Women &gt; Clothing &gt; Tops, Tees &amp; Blouses &gt; Blouses &amp; Button-Down Shirts</x:v>
      </x:c>
      <x:c r="G29" s="32" t="str"/>
      <x:c r="H29" s="32" t="str">
        <x:v>The Drop</x:v>
      </x:c>
      <x:c r="I29" s="32" t="str">
        <x:v>womens</x:v>
      </x:c>
      <x:c r="J29" s="32" t="str">
        <x:v>Zebra Print</x:v>
      </x:c>
      <x:c r="K29" s="32" t="str"/>
      <x:c r="L29" s="32" t="str">
        <x:v>The Drop</x:v>
      </x:c>
      <x:c r="M29" s="32" t="str"/>
      <x:c r="N29" s="32" t="str">
        <x:v>100% Polyester Imported Button closure Machine Wash Made of a medium-weight, non-stretch, soft polyester fabric This button-down shirt has functional button closures at sleeve cuffs. Sarah is 5'5"/166 cm and wearing a size S. This shirt is </x:v>
      </x:c>
      <x:c r="O29" s="32" t="str">
        <x:v>The Drop partners with international influencers to design of-the-moment collections that could release at any instant-and are gone in 30 hours or less. Pair these designs with everyday pieces from Staples by The Drop to create your own des</x:v>
      </x:c>
      <x:c r="P29" s="35" t="str"/>
      <x:c r="Q29" s="35" t="str"/>
      <x:c r="R29" s="35" t="str"/>
      <x:c r="S29" s="35" t="str"/>
      <x:c r="T29" s="35" t="str"/>
      <x:c r="U29" s="35" t="str"/>
      <x:c r="V29" s="35" t="str"/>
      <x:c r="W29" s="35" t="str"/>
      <x:c r="X29" s="35" t="str"/>
      <x:c r="Y29" s="35" t="str"/>
      <x:c r="Z29" s="35" t="str">
        <x:v>未开始</x:v>
      </x:c>
    </x:row>
    <x:row r="30" ht="55" customHeight="1">
      <x:c r="A30" s="32" t="n">
        <x:v>37</x:v>
      </x:c>
      <x:c r="B30" s="32" t="str">
        <x:v>审核员B</x:v>
      </x:c>
      <x:c r="C30" s="32" t="str">
        <x:v>B00MG8QPTY</x:v>
      </x:c>
      <x:c r="D30" s="32" t="str">
        <x:v>Mishu Women's MR38A Pixie Slit Top</x:v>
      </x:c>
      <x:c r="E30" s="32" t="str">
        <x:v>Blouses &amp; Button-Down Shirts</x:v>
      </x:c>
      <x:c r="F30" s="32" t="str">
        <x:v>Clothing, Shoes &amp; Jewelry &gt; Women &gt; Clothing &gt; Tops, Tees &amp; Blouses &gt; Blouses &amp; Button-Down Shirts</x:v>
      </x:c>
      <x:c r="G30" s="32" t="str"/>
      <x:c r="H30" s="32" t="str">
        <x:v>Mishu</x:v>
      </x:c>
      <x:c r="I30" s="32" t="str">
        <x:v>Womens</x:v>
      </x:c>
      <x:c r="J30" s="32" t="str"/>
      <x:c r="K30" s="32" t="str"/>
      <x:c r="L30" s="32" t="str"/>
      <x:c r="M30" s="32" t="str"/>
      <x:c r="N30" s="32" t="str">
        <x:v>Cotton Lycra Cold water wash, hang dry Made in India</x:v>
      </x:c>
      <x:c r="O30" s="32" t="str">
        <x:v>Very popular top with slit sleeves and hems coming down to a point on front and back. Add some flair to any outfit or make it part of a statement piece. Small: Chest: 32"-35" Hip: 32"-35" Shortest length: 24" Medium: Chest: 34"-37" Hip: 36"</x:v>
      </x:c>
      <x:c r="P30" s="35" t="str"/>
      <x:c r="Q30" s="35" t="str"/>
      <x:c r="R30" s="35" t="str"/>
      <x:c r="S30" s="35" t="str"/>
      <x:c r="T30" s="35" t="str"/>
      <x:c r="U30" s="35" t="str"/>
      <x:c r="V30" s="35" t="str"/>
      <x:c r="W30" s="35" t="str"/>
      <x:c r="X30" s="35" t="str"/>
      <x:c r="Y30" s="35" t="str"/>
      <x:c r="Z30" s="35" t="str">
        <x:v>未开始</x:v>
      </x:c>
    </x:row>
    <x:row r="31" ht="55" customHeight="1">
      <x:c r="A31" s="32" t="n">
        <x:v>38</x:v>
      </x:c>
      <x:c r="B31" s="32" t="str">
        <x:v>审核员B</x:v>
      </x:c>
      <x:c r="C31" s="32" t="str">
        <x:v>B0B18MM3RR</x:v>
      </x:c>
      <x:c r="D31" s="32" t="str">
        <x:v>JoyJoy Womens Casual Square Neck Tops Off The Shoulder Puff Ruffle Long Sleeve Smocked Blouses Shirts White L</x:v>
      </x:c>
      <x:c r="E31" s="32" t="str">
        <x:v>Blouses &amp; Button-Down Shirts</x:v>
      </x:c>
      <x:c r="F31" s="32" t="str">
        <x:v>Clothing, Shoes &amp; Jewelry &gt; Women &gt; Clothing &gt; Tops, Tees &amp; Blouses &gt; Blouses &amp; Button-Down Shirts</x:v>
      </x:c>
      <x:c r="G31" s="32" t="str"/>
      <x:c r="H31" s="32" t="str">
        <x:v>JoyJoy</x:v>
      </x:c>
      <x:c r="I31" s="32" t="str">
        <x:v>womens</x:v>
      </x:c>
      <x:c r="J31" s="32" t="str"/>
      <x:c r="K31" s="32" t="str"/>
      <x:c r="L31" s="32" t="str"/>
      <x:c r="M31" s="32" t="str"/>
      <x:c r="N31" s="32" t="str">
        <x:v>95% Polyester, 5% Spandex Imported Pull On closure Hand Wash Only [Material] Puff long sleeve blouses is made of 95% polyester and 5% spandex. It's soft, lightweight and breathable [Features] Puff sleeve tops for women, lace long sleeve, fl</x:v>
      </x:c>
      <x:c r="O31" s="32" t="str"/>
      <x:c r="P31" s="35" t="str"/>
      <x:c r="Q31" s="35" t="str"/>
      <x:c r="R31" s="35" t="str"/>
      <x:c r="S31" s="35" t="str"/>
      <x:c r="T31" s="35" t="str"/>
      <x:c r="U31" s="35" t="str"/>
      <x:c r="V31" s="35" t="str"/>
      <x:c r="W31" s="35" t="str"/>
      <x:c r="X31" s="35" t="str"/>
      <x:c r="Y31" s="35" t="str"/>
      <x:c r="Z31" s="35" t="str">
        <x:v>未开始</x:v>
      </x:c>
    </x:row>
    <x:row r="32" ht="55" customHeight="1">
      <x:c r="A32" s="32" t="n">
        <x:v>39</x:v>
      </x:c>
      <x:c r="B32" s="32" t="str">
        <x:v>审核员B</x:v>
      </x:c>
      <x:c r="C32" s="32" t="str">
        <x:v>B09N31L1VZ</x:v>
      </x:c>
      <x:c r="D32" s="32" t="str">
        <x:v>SweatyRocks Women's Casual Off Shoulder Square Neck Button Front Ribbed Knit Slim Tee Shirt Blouse Tops Black M</x:v>
      </x:c>
      <x:c r="E32" s="32" t="str">
        <x:v>Blouses &amp; Button-Down Shirts</x:v>
      </x:c>
      <x:c r="F32" s="32" t="str">
        <x:v>Clothing, Shoes &amp; Jewelry &gt; Women &gt; Clothing &gt; Tops, Tees &amp; Blouses &gt; Blouses &amp; Button-Down Shirts</x:v>
      </x:c>
      <x:c r="G32" s="32" t="str"/>
      <x:c r="H32" s="32" t="str">
        <x:v>SweatyRocks</x:v>
      </x:c>
      <x:c r="I32" s="32" t="str">
        <x:v>Womens</x:v>
      </x:c>
      <x:c r="J32" s="32" t="str"/>
      <x:c r="K32" s="32" t="str"/>
      <x:c r="L32" s="32" t="str"/>
      <x:c r="M32" s="32" t="str"/>
      <x:c r="N32" s="32" t="str">
        <x:v>100% Polyester Machine wash and Hand wash</x:v>
      </x:c>
      <x:c r="O32" s="32" t="str"/>
      <x:c r="P32" s="35" t="str"/>
      <x:c r="Q32" s="35" t="str"/>
      <x:c r="R32" s="35" t="str"/>
      <x:c r="S32" s="35" t="str"/>
      <x:c r="T32" s="35" t="str"/>
      <x:c r="U32" s="35" t="str"/>
      <x:c r="V32" s="35" t="str"/>
      <x:c r="W32" s="35" t="str"/>
      <x:c r="X32" s="35" t="str"/>
      <x:c r="Y32" s="35" t="str"/>
      <x:c r="Z32" s="35" t="str">
        <x:v>未开始</x:v>
      </x:c>
    </x:row>
    <x:row r="33" ht="55" customHeight="1">
      <x:c r="A33" s="32" t="n">
        <x:v>40</x:v>
      </x:c>
      <x:c r="B33" s="32" t="str">
        <x:v>审核员B</x:v>
      </x:c>
      <x:c r="C33" s="32" t="str">
        <x:v>B07DVF38F8</x:v>
      </x:c>
      <x:c r="D33" s="32" t="str">
        <x:v>MISS MOLY Womens Lightweight Multi-Pocket Zip up Jackets Windbreaker Bomber Outwear Warm-Keeping Coat Black,Large</x:v>
      </x:c>
      <x:c r="E33" s="32" t="str">
        <x:v>Blouses &amp; Button-Down Shirts</x:v>
      </x:c>
      <x:c r="F33" s="32" t="str">
        <x:v>Clothing, Shoes &amp; Jewelry &gt; Women &gt; Clothing &gt; Tops, Tees &amp; Blouses &gt; Blouses &amp; Button-Down Shirts</x:v>
      </x:c>
      <x:c r="G33" s="32" t="str"/>
      <x:c r="H33" s="32" t="str">
        <x:v>MISS MOLY</x:v>
      </x:c>
      <x:c r="I33" s="32" t="str">
        <x:v>womens</x:v>
      </x:c>
      <x:c r="J33" s="32" t="str"/>
      <x:c r="K33" s="32" t="str"/>
      <x:c r="L33" s="32" t="str"/>
      <x:c r="M33" s="32" t="str"/>
      <x:c r="N33" s="32" t="str">
        <x:v>❤ PLEASE CHOOSE YOUR SIZE BASED ON BUST MEASUREMENT BELOW (✔✔✔Bust (XS)33 inches (S)35 inches (M)37 inches (L)40 inches (XL)43 inches) Zipper closure Machine Wash ❤ Relaxed fit, classic O-neck long sleeve bomber jacket, rib collar, and cuff</x:v>
      </x:c>
      <x:c r="O33" s="32" t="str">
        <x:v>❤❤Clearance Womens Lightweight Multi-Pocket Zip up Jackets Rib Collar Windbreaker Fastening Front Bomber Outwear Warm-Keeping CoatCategory: Basic Jacket Fitting: Relaxed Fit Occasion: Day-to-Night, Party Sleeve Style: Long Sleeves Neck Styl</x:v>
      </x:c>
      <x:c r="P33" s="35" t="str"/>
      <x:c r="Q33" s="35" t="str"/>
      <x:c r="R33" s="35" t="str"/>
      <x:c r="S33" s="35" t="str"/>
      <x:c r="T33" s="35" t="str"/>
      <x:c r="U33" s="35" t="str"/>
      <x:c r="V33" s="35" t="str"/>
      <x:c r="W33" s="35" t="str"/>
      <x:c r="X33" s="35" t="str"/>
      <x:c r="Y33" s="35" t="str"/>
      <x:c r="Z33" s="35" t="str">
        <x:v>未开始</x:v>
      </x:c>
    </x:row>
    <x:row r="34" ht="55" customHeight="1">
      <x:c r="A34" s="32" t="n">
        <x:v>41</x:v>
      </x:c>
      <x:c r="B34" s="32" t="str">
        <x:v>审核员B</x:v>
      </x:c>
      <x:c r="C34" s="32" t="str">
        <x:v>B00QGXWJ72</x:v>
      </x:c>
      <x:c r="D34" s="32" t="str">
        <x:v>Ted Baker Men's Leeno Slip-On Loafer</x:v>
      </x:c>
      <x:c r="E34" s="32" t="str">
        <x:v>Loafers &amp; Slip-Ons</x:v>
      </x:c>
      <x:c r="F34" s="32" t="str">
        <x:v>Clothing, Shoes &amp; Jewelry &gt; Men &gt; Shoes &gt; Loafers &amp; Slip-Ons</x:v>
      </x:c>
      <x:c r="G34" s="32" t="str"/>
      <x:c r="H34" s="32" t="str">
        <x:v>Ted Baker</x:v>
      </x:c>
      <x:c r="I34" s="32" t="str">
        <x:v>mens</x:v>
      </x:c>
      <x:c r="J34" s="32" t="str"/>
      <x:c r="K34" s="32" t="str"/>
      <x:c r="L34" s="32" t="str">
        <x:v>Ted Baker London</x:v>
      </x:c>
      <x:c r="M34" s="32" t="str"/>
      <x:c r="N34" s="32" t="str">
        <x:v>100% Textile Imported Synthetic sole</x:v>
      </x:c>
      <x:c r="O34" s="32" t="str">
        <x:v>From the beginning Ted has had a very clear, unswerving, focus on quality, attention to detail, and a quirky sense of humour. In fact, the first Ted Baker stores used to provide a laundry service for every shirt purchased--something that ga</x:v>
      </x:c>
      <x:c r="P34" s="35" t="str"/>
      <x:c r="Q34" s="35" t="str"/>
      <x:c r="R34" s="35" t="str"/>
      <x:c r="S34" s="35" t="str"/>
      <x:c r="T34" s="35" t="str"/>
      <x:c r="U34" s="35" t="str"/>
      <x:c r="V34" s="35" t="str"/>
      <x:c r="W34" s="35" t="str"/>
      <x:c r="X34" s="35" t="str"/>
      <x:c r="Y34" s="35" t="str"/>
      <x:c r="Z34" s="35" t="str">
        <x:v>未开始</x:v>
      </x:c>
    </x:row>
    <x:row r="35" ht="55" customHeight="1">
      <x:c r="A35" s="32" t="n">
        <x:v>42</x:v>
      </x:c>
      <x:c r="B35" s="32" t="str">
        <x:v>审核员B</x:v>
      </x:c>
      <x:c r="C35" s="32" t="str">
        <x:v>B01G7ARHSE</x:v>
      </x:c>
      <x:c r="D35" s="32" t="str">
        <x:v>LOUECHY Men's Notus Mesh Walking Loafers Breathable Casual Shoes Lightweight Driving Shoes</x:v>
      </x:c>
      <x:c r="E35" s="32" t="str">
        <x:v>Loafers &amp; Slip-Ons</x:v>
      </x:c>
      <x:c r="F35" s="32" t="str">
        <x:v>Clothing, Shoes &amp; Jewelry &gt; Men &gt; Shoes &gt; Loafers &amp; Slip-Ons</x:v>
      </x:c>
      <x:c r="G35" s="32" t="str"/>
      <x:c r="H35" s="32" t="str">
        <x:v>LOUECHY</x:v>
      </x:c>
      <x:c r="I35" s="32" t="str">
        <x:v>Mens</x:v>
      </x:c>
      <x:c r="J35" s="32" t="str"/>
      <x:c r="K35" s="32" t="str"/>
      <x:c r="L35" s="32" t="str"/>
      <x:c r="M35" s="32" t="str"/>
      <x:c r="N35" s="32" t="str">
        <x:v>Rubber sole Mesh textile upper with suede or split-leather. Lightweight and breathable, these shoes with flat outsole and soft insole comfortable fit for walking. The upper made of mesh textile means super breathable and quick-drying, allow</x:v>
      </x:c>
      <x:c r="O35" s="32" t="str"/>
      <x:c r="P35" s="35" t="str"/>
      <x:c r="Q35" s="35" t="str"/>
      <x:c r="R35" s="35" t="str"/>
      <x:c r="S35" s="35" t="str"/>
      <x:c r="T35" s="35" t="str"/>
      <x:c r="U35" s="35" t="str"/>
      <x:c r="V35" s="35" t="str"/>
      <x:c r="W35" s="35" t="str"/>
      <x:c r="X35" s="35" t="str"/>
      <x:c r="Y35" s="35" t="str"/>
      <x:c r="Z35" s="35" t="str">
        <x:v>未开始</x:v>
      </x:c>
    </x:row>
    <x:row r="36" ht="55" customHeight="1">
      <x:c r="A36" s="32" t="n">
        <x:v>43</x:v>
      </x:c>
      <x:c r="B36" s="32" t="str">
        <x:v>审核员B</x:v>
      </x:c>
      <x:c r="C36" s="32" t="str">
        <x:v>B07TZBWLLL</x:v>
      </x:c>
      <x:c r="D36" s="32" t="str">
        <x:v>ComeShun Women Shoes Comfort Slip On Driving Moccasins Penny Loafers Flats</x:v>
      </x:c>
      <x:c r="E36" s="32" t="str">
        <x:v>Loafers &amp; Slip-Ons</x:v>
      </x:c>
      <x:c r="F36" s="32" t="str">
        <x:v>Clothing, Shoes &amp; Jewelry &gt; Women &gt; Shoes &gt; Loafers &amp; Slip-Ons</x:v>
      </x:c>
      <x:c r="G36" s="32" t="str"/>
      <x:c r="H36" s="32" t="str">
        <x:v>ComeShun</x:v>
      </x:c>
      <x:c r="I36" s="32" t="str">
        <x:v>Womens</x:v>
      </x:c>
      <x:c r="J36" s="32" t="str"/>
      <x:c r="K36" s="32" t="str"/>
      <x:c r="L36" s="32" t="str"/>
      <x:c r="M36" s="32" t="str"/>
      <x:c r="N36" s="32" t="str">
        <x:v>Rubber sole CLASSIC DESIGN:Penny loafer shoes are made from VEGAN leather COLORS AVAILABLE: Black,camel,blue,grey,red and black PU. BREATHABLE COMFORT: ComeShun Moccasins offer comfy support and breathability SKIDPROOF: High quality sole go</x:v>
      </x:c>
      <x:c r="O36" s="32" t="str">
        <x:v>Brand information We are a professional shoe brand which carries stylish and an affordable women's footwear. We offer the best quality at low price and confidently ensure the prestige quality of our products. Our shoes not only provide time</x:v>
      </x:c>
      <x:c r="P36" s="35" t="str"/>
      <x:c r="Q36" s="35" t="str"/>
      <x:c r="R36" s="35" t="str"/>
      <x:c r="S36" s="35" t="str"/>
      <x:c r="T36" s="35" t="str"/>
      <x:c r="U36" s="35" t="str"/>
      <x:c r="V36" s="35" t="str"/>
      <x:c r="W36" s="35" t="str"/>
      <x:c r="X36" s="35" t="str"/>
      <x:c r="Y36" s="35" t="str"/>
      <x:c r="Z36" s="35" t="str">
        <x:v>未开始</x:v>
      </x:c>
    </x:row>
    <x:row r="37" ht="55" customHeight="1">
      <x:c r="A37" s="32" t="n">
        <x:v>44</x:v>
      </x:c>
      <x:c r="B37" s="32" t="str">
        <x:v>审核员B</x:v>
      </x:c>
      <x:c r="C37" s="32" t="str">
        <x:v>B00IRKEW90</x:v>
      </x:c>
      <x:c r="D37" s="32" t="str">
        <x:v>Rj's Fuzzies Ladies RJs-101 Moccasin Slipper Sheepskin Cheastnut Medium Width (9)</x:v>
      </x:c>
      <x:c r="E37" s="32" t="str">
        <x:v>Loafers &amp; Slip-Ons</x:v>
      </x:c>
      <x:c r="F37" s="32" t="str">
        <x:v>Clothing, Shoes &amp; Jewelry &gt; Women &gt; Shoes &gt; Loafers &amp; Slip-Ons</x:v>
      </x:c>
      <x:c r="G37" s="32" t="str"/>
      <x:c r="H37" s="32" t="str">
        <x:v>Cloud Nine Sheepskin</x:v>
      </x:c>
      <x:c r="I37" s="32" t="str">
        <x:v>Womens</x:v>
      </x:c>
      <x:c r="J37" s="32" t="str"/>
      <x:c r="K37" s="32" t="str"/>
      <x:c r="L37" s="32" t="str"/>
      <x:c r="M37" s="32" t="str"/>
      <x:c r="N37" s="32" t="str">
        <x:v>Synthetic sole Cowhide Suede upper Versatile sole is great for indoor and outdoor wearing Made from the highest quality materials Great for everyday use A gift any father or husband would love!</x:v>
      </x:c>
      <x:c r="O37" s="32" t="str">
        <x:v>Cowhide Suede Upper Versatile sole is great for Indoor and Outdoor wearing Made from the highest quality materials Great for everyday use A Gift any Mother, Wife or Daughter would love! Colors, dye lots, and markings may vary from picture. </x:v>
      </x:c>
      <x:c r="P37" s="35" t="str"/>
      <x:c r="Q37" s="35" t="str"/>
      <x:c r="R37" s="35" t="str"/>
      <x:c r="S37" s="35" t="str"/>
      <x:c r="T37" s="35" t="str"/>
      <x:c r="U37" s="35" t="str"/>
      <x:c r="V37" s="35" t="str"/>
      <x:c r="W37" s="35" t="str"/>
      <x:c r="X37" s="35" t="str"/>
      <x:c r="Y37" s="35" t="str"/>
      <x:c r="Z37" s="35" t="str">
        <x:v>未开始</x:v>
      </x:c>
    </x:row>
    <x:row r="38" ht="55" customHeight="1">
      <x:c r="A38" s="32" t="n">
        <x:v>45</x:v>
      </x:c>
      <x:c r="B38" s="32" t="str">
        <x:v>审核员B</x:v>
      </x:c>
      <x:c r="C38" s="32" t="str">
        <x:v>B077KFN2NL</x:v>
      </x:c>
      <x:c r="D38" s="32" t="str">
        <x:v>Urban Fox Men's Francis Slip-On Fashion Sneakers | Slip On Shoes Men | Mens Sneakers | Suede Shoes |…</x:v>
      </x:c>
      <x:c r="E38" s="32" t="str">
        <x:v>Loafers &amp; Slip-Ons</x:v>
      </x:c>
      <x:c r="F38" s="32" t="str">
        <x:v>Clothing, Shoes &amp; Jewelry &gt; Men &gt; Shoes &gt; Loafers &amp; Slip-Ons</x:v>
      </x:c>
      <x:c r="G38" s="32" t="str"/>
      <x:c r="H38" s="32" t="str">
        <x:v>Urban Fox</x:v>
      </x:c>
      <x:c r="I38" s="32" t="str">
        <x:v>mens</x:v>
      </x:c>
      <x:c r="J38" s="32" t="str"/>
      <x:c r="K38" s="32" t="str"/>
      <x:c r="L38" s="32" t="str">
        <x:v>Urban Fox</x:v>
      </x:c>
      <x:c r="M38" s="32" t="str"/>
      <x:c r="N38" s="32" t="str">
        <x:v>Imported Rubber sole Imported Lightweight, soft and comfortable design Slip-on Closure Durable and flexible rubber outsole</x:v>
      </x:c>
      <x:c r="O38" s="32" t="str">
        <x:v>Urban Fox Men's Francis Slip-On Fashion Sneakers | Slip On Shoes Men | Mens Sneakers | Suede Shoes |</x:v>
      </x:c>
      <x:c r="P38" s="35" t="str"/>
      <x:c r="Q38" s="35" t="str"/>
      <x:c r="R38" s="35" t="str"/>
      <x:c r="S38" s="35" t="str"/>
      <x:c r="T38" s="35" t="str"/>
      <x:c r="U38" s="35" t="str"/>
      <x:c r="V38" s="35" t="str"/>
      <x:c r="W38" s="35" t="str"/>
      <x:c r="X38" s="35" t="str"/>
      <x:c r="Y38" s="35" t="str"/>
      <x:c r="Z38" s="35" t="str">
        <x:v>未开始</x:v>
      </x:c>
    </x:row>
    <x:row r="39" ht="55" customHeight="1">
      <x:c r="A39" s="32" t="n">
        <x:v>46</x:v>
      </x:c>
      <x:c r="B39" s="32" t="str">
        <x:v>审核员B</x:v>
      </x:c>
      <x:c r="C39" s="32" t="str">
        <x:v>B075P1L8SZ</x:v>
      </x:c>
      <x:c r="D39" s="32" t="str">
        <x:v>EMVANV Women's Product (Medium, Grey White)</x:v>
      </x:c>
      <x:c r="E39" s="32" t="str">
        <x:v>Dresses</x:v>
      </x:c>
      <x:c r="F39" s="32" t="str">
        <x:v>Clothing, Shoes &amp; Jewelry &gt; Novelty &amp; More &gt; Clothing &gt; Novelty &gt; Women &gt; Dresses</x:v>
      </x:c>
      <x:c r="G39" s="32" t="str"/>
      <x:c r="H39" s="32" t="str">
        <x:v>EMVANV</x:v>
      </x:c>
      <x:c r="I39" s="32" t="str">
        <x:v>womens</x:v>
      </x:c>
      <x:c r="J39" s="32" t="str"/>
      <x:c r="K39" s="32" t="str"/>
      <x:c r="L39" s="32" t="str"/>
      <x:c r="M39" s="32" t="str"/>
      <x:c r="N39" s="32" t="str"/>
      <x:c r="O39" s="32" t="str"/>
      <x:c r="P39" s="35" t="str"/>
      <x:c r="Q39" s="35" t="str"/>
      <x:c r="R39" s="35" t="str"/>
      <x:c r="S39" s="35" t="str"/>
      <x:c r="T39" s="35" t="str"/>
      <x:c r="U39" s="35" t="str"/>
      <x:c r="V39" s="35" t="str"/>
      <x:c r="W39" s="35" t="str"/>
      <x:c r="X39" s="35" t="str"/>
      <x:c r="Y39" s="35" t="str"/>
      <x:c r="Z39" s="35" t="str">
        <x:v>未开始</x:v>
      </x:c>
    </x:row>
    <x:row r="40" ht="55" customHeight="1">
      <x:c r="A40" s="32" t="n">
        <x:v>47</x:v>
      </x:c>
      <x:c r="B40" s="32" t="str">
        <x:v>审核员B</x:v>
      </x:c>
      <x:c r="C40" s="32" t="str">
        <x:v>B09PMV7WYK</x:v>
      </x:c>
      <x:c r="D40" s="32" t="str">
        <x:v>Milumia Women's Elegant One Shoulder Tie Side Short Sleeve Plain Short Tunic Dress</x:v>
      </x:c>
      <x:c r="E40" s="32" t="str">
        <x:v>Dresses</x:v>
      </x:c>
      <x:c r="F40" s="32" t="str">
        <x:v>Clothing, Shoes &amp; Jewelry &gt; Women &gt; Clothing &gt; Dresses</x:v>
      </x:c>
      <x:c r="G40" s="32" t="str"/>
      <x:c r="H40" s="32" t="str">
        <x:v>Milumia</x:v>
      </x:c>
      <x:c r="I40" s="32" t="str">
        <x:v>womens</x:v>
      </x:c>
      <x:c r="J40" s="32" t="str"/>
      <x:c r="K40" s="32" t="str"/>
      <x:c r="L40" s="32" t="str"/>
      <x:c r="M40" s="32" t="str"/>
      <x:c r="N40" s="32" t="str">
        <x:v>100% Polyester Tie closure Machine Wash Material: 100% Polyester; Fabric has no stretch; Soft and comfy to wear Feature: Asymmetrical Neck, Tie Side, One Shoulder, Short Sleeve, Tunic, Short, Straight, Elegant Occasion: Suitable for Work, O</x:v>
      </x:c>
      <x:c r="O40" s="32" t="str">
        <x:v>Size Chart: X-Small: Length:32.9", Bust:37", Waist Size:35.8"/ Small: Length:33.7", Bust:38.6", Waist Size:37.4"/ Medium: Length:34.4", Bust:40.2", Waist Size:39"/ Large: Length:35.2", Bust:42.5", Waist Size:41.3"</x:v>
      </x:c>
      <x:c r="P40" s="35" t="str"/>
      <x:c r="Q40" s="35" t="str"/>
      <x:c r="R40" s="35" t="str"/>
      <x:c r="S40" s="35" t="str"/>
      <x:c r="T40" s="35" t="str"/>
      <x:c r="U40" s="35" t="str"/>
      <x:c r="V40" s="35" t="str"/>
      <x:c r="W40" s="35" t="str"/>
      <x:c r="X40" s="35" t="str"/>
      <x:c r="Y40" s="35" t="str"/>
      <x:c r="Z40" s="35" t="str">
        <x:v>未开始</x:v>
      </x:c>
    </x:row>
    <x:row r="41" ht="55" customHeight="1">
      <x:c r="A41" s="32" t="n">
        <x:v>48</x:v>
      </x:c>
      <x:c r="B41" s="32" t="str">
        <x:v>审核员B</x:v>
      </x:c>
      <x:c r="C41" s="32" t="str">
        <x:v>B07H5HPLRY</x:v>
      </x:c>
      <x:c r="D41" s="32" t="str">
        <x:v>Le Mou Women's Sleeveless Floral Print Waist Tie Up Midi Length Feminine Dress</x:v>
      </x:c>
      <x:c r="E41" s="32" t="str">
        <x:v>Dresses</x:v>
      </x:c>
      <x:c r="F41" s="32" t="str">
        <x:v>Clothing, Shoes &amp; Jewelry &gt; Women &gt; Clothing &gt; Dresses</x:v>
      </x:c>
      <x:c r="G41" s="32" t="str"/>
      <x:c r="H41" s="32" t="str">
        <x:v>Le Mou</x:v>
      </x:c>
      <x:c r="I41" s="32" t="str">
        <x:v>Womens</x:v>
      </x:c>
      <x:c r="J41" s="32" t="str"/>
      <x:c r="K41" s="32" t="str"/>
      <x:c r="L41" s="32" t="str">
        <x:v>Le Mou</x:v>
      </x:c>
      <x:c r="M41" s="32" t="str"/>
      <x:c r="N41" s="32" t="str">
        <x:v>Georgette Tie closure Floral Print Sleeveless Dress Simple Waist Tie up Attached Linning Georgette Fabric</x:v>
      </x:c>
      <x:c r="O41" s="32" t="str"/>
      <x:c r="P41" s="35" t="str"/>
      <x:c r="Q41" s="35" t="str"/>
      <x:c r="R41" s="35" t="str"/>
      <x:c r="S41" s="35" t="str"/>
      <x:c r="T41" s="35" t="str"/>
      <x:c r="U41" s="35" t="str"/>
      <x:c r="V41" s="35" t="str"/>
      <x:c r="W41" s="35" t="str"/>
      <x:c r="X41" s="35" t="str"/>
      <x:c r="Y41" s="35" t="str"/>
      <x:c r="Z41" s="35" t="str">
        <x:v>未开始</x:v>
      </x:c>
    </x:row>
    <x:row r="42" ht="55" customHeight="1">
      <x:c r="A42" s="32" t="n">
        <x:v>49</x:v>
      </x:c>
      <x:c r="B42" s="32" t="str">
        <x:v>审核员B</x:v>
      </x:c>
      <x:c r="C42" s="32" t="str">
        <x:v>B091YS1NJT</x:v>
      </x:c>
      <x:c r="D42" s="32" t="str">
        <x:v>JASCLS Women Summer Casual Short Sleeve Floral Printed Flowy Dresses</x:v>
      </x:c>
      <x:c r="E42" s="32" t="str">
        <x:v>Dresses</x:v>
      </x:c>
      <x:c r="F42" s="32" t="str">
        <x:v>Clothing, Shoes &amp; Jewelry &gt; Women &gt; Clothing &gt; Dresses</x:v>
      </x:c>
      <x:c r="G42" s="32" t="str"/>
      <x:c r="H42" s="32" t="str">
        <x:v>JASCLS</x:v>
      </x:c>
      <x:c r="I42" s="32" t="str">
        <x:v>Womens</x:v>
      </x:c>
      <x:c r="J42" s="32" t="str"/>
      <x:c r="K42" s="32" t="str"/>
      <x:c r="L42" s="32" t="str">
        <x:v>JASCLS</x:v>
      </x:c>
      <x:c r="M42" s="32" t="str"/>
      <x:c r="N42" s="32" t="str">
        <x:v>100% Polyester 按钮 closure Machine Wash 💕 Material： 100% Polyester，super soft and good shape. 💕Vintage Design: Bright Colors, flower printed graphic, casual loose style, short sleeve flower printed cute flowy dresses. 💕 Cross v neck and shor</x:v>
      </x:c>
      <x:c r="O42" s="32" t="str"/>
      <x:c r="P42" s="35" t="str"/>
      <x:c r="Q42" s="35" t="str"/>
      <x:c r="R42" s="35" t="str"/>
      <x:c r="S42" s="35" t="str"/>
      <x:c r="T42" s="35" t="str"/>
      <x:c r="U42" s="35" t="str"/>
      <x:c r="V42" s="35" t="str"/>
      <x:c r="W42" s="35" t="str"/>
      <x:c r="X42" s="35" t="str"/>
      <x:c r="Y42" s="35" t="str"/>
      <x:c r="Z42" s="35" t="str">
        <x:v>未开始</x:v>
      </x:c>
    </x:row>
    <x:row r="43" ht="55" customHeight="1">
      <x:c r="A43" s="32" t="n">
        <x:v>50</x:v>
      </x:c>
      <x:c r="B43" s="32" t="str">
        <x:v>审核员B</x:v>
      </x:c>
      <x:c r="C43" s="32" t="str">
        <x:v>B082NRSLD9</x:v>
      </x:c>
      <x:c r="D43" s="32" t="str">
        <x:v>ULTRANICE Women's Summer Floral Sleeveless Adjustable Spaghetti Backless Short Dress(FloralO,M)</x:v>
      </x:c>
      <x:c r="E43" s="32" t="str">
        <x:v>Dresses</x:v>
      </x:c>
      <x:c r="F43" s="32" t="str">
        <x:v>Clothing, Shoes &amp; Jewelry &gt; Women &gt; Clothing &gt; Dresses</x:v>
      </x:c>
      <x:c r="G43" s="32" t="str"/>
      <x:c r="H43" s="32" t="str">
        <x:v>ULTRANICE</x:v>
      </x:c>
      <x:c r="I43" s="32" t="str">
        <x:v>womens</x:v>
      </x:c>
      <x:c r="J43" s="32" t="str"/>
      <x:c r="K43" s="32" t="str"/>
      <x:c r="L43" s="32" t="str"/>
      <x:c r="M43" s="32" t="str"/>
      <x:c r="N43" s="32" t="str">
        <x:v>Fabric: soft and stretchy but not clingy, comfy to wear Pull On closure Hand Wash Only Features: fashion leopard print dress, sundress, v-neck, backless, sleeveless, elastic waistline, with pockets Floral summer dress with adjustable spaghe</x:v>
      </x:c>
      <x:c r="O43" s="32" t="str"/>
      <x:c r="P43" s="35" t="str"/>
      <x:c r="Q43" s="35" t="str"/>
      <x:c r="R43" s="35" t="str"/>
      <x:c r="S43" s="35" t="str"/>
      <x:c r="T43" s="35" t="str"/>
      <x:c r="U43" s="35" t="str"/>
      <x:c r="V43" s="35" t="str"/>
      <x:c r="W43" s="35" t="str"/>
      <x:c r="X43" s="35" t="str"/>
      <x:c r="Y43" s="35" t="str"/>
      <x:c r="Z43" s="35" t="str">
        <x:v>未开始</x:v>
      </x:c>
    </x:row>
  </x:sheetData>
  <x:mergeCells>
    <x:mergeCell ref="A1:Z1"/>
    <x:mergeCell ref="A2:Z2"/>
  </x:mergeCells>
  <x:conditionalFormatting sqref="Z4:Z43">
    <x:cfRule type="containsText" dxfId="7" priority="1" operator="containsText" text="已完成"/>
    <x:cfRule type="containsText" dxfId="8" priority="2" operator="containsText" text="需讨论"/>
  </x:conditionalFormatting>
  <x:dataValidations count="3">
    <x:dataValidation type="list" sqref="B4:B43">
      <x:formula1>"审核员A,审核员B"</x:formula1>
    </x:dataValidation>
    <x:dataValidation type="list" sqref="Q4:Q43">
      <x:formula1>"women,men,unisex,kids,unknown"</x:formula1>
    </x:dataValidation>
    <x:dataValidation type="list" sqref="Z4:Z43">
      <x:formula1>"未开始,审核中,已完成,需讨论"</x:formula1>
    </x:dataValidation>
  </x:dataValidations>
  <x:pageMargins left="0.7" right="0.7" top="0.75" bottom="0.75" header="0.3" footer="0.3"/>
  <x:tableParts count="1">
    <x:tablePart xmlns:r="http://schemas.openxmlformats.org/officeDocument/2006/relationships" r:id="R319d7c3ef4ec45d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28" hidden="0" customWidth="1"/>
    <x:col min="4" max="4" width="48" hidden="0" customWidth="1"/>
    <x:col min="5" max="5" width="40" hidden="0" customWidth="1"/>
  </x:cols>
  <x:sheetData>
    <x:row r="1" ht="30" customHeight="1">
      <x:c r="A1" s="3" t="str">
        <x:v>标签字典与填写规则</x:v>
      </x:c>
      <x:c r="B1" s="3"/>
      <x:c r="C1" s="3"/>
      <x:c r="D1" s="3"/>
      <x:c r="E1" s="3"/>
    </x:row>
    <x:row r="2" ht="32" customHeight="1">
      <x:c r="A2" s="7" t="str">
        <x:v>这张表是统一口径；如果前10条讨论后规则改变，请在这里记录新决定。</x:v>
      </x:c>
      <x:c r="B2" s="7"/>
      <x:c r="C2" s="7"/>
      <x:c r="D2" s="7"/>
      <x:c r="E2" s="7"/>
    </x:row>
    <x:row r="3">
      <x:c r="A3" s="37" t="str">
        <x:v>字段</x:v>
      </x:c>
      <x:c r="B3" s="37" t="str">
        <x:v>填写格式</x:v>
      </x:c>
      <x:c r="C3" s="37" t="str">
        <x:v>示例</x:v>
      </x:c>
      <x:c r="D3" s="37" t="str">
        <x:v>判断规则</x:v>
      </x:c>
      <x:c r="E3" s="37" t="str">
        <x:v>常见问题</x:v>
      </x:c>
    </x:row>
    <x:row r="4" ht="44" customHeight="1">
      <x:c r="A4" s="47" t="str">
        <x:v>审核分类</x:v>
      </x:c>
      <x:c r="B4" s="45" t="str">
        <x:v>小写英文；下划线连接</x:v>
      </x:c>
      <x:c r="C4" s="45" t="str">
        <x:v>t_shirt / running_shoe</x:v>
      </x:c>
      <x:c r="D4" s="45" t="str">
        <x:v>优先完整分类路径，其次标题中的明确商品名</x:v>
      </x:c>
      <x:c r="E4" s="45" t="str">
        <x:v>不要把 Westlake 等可疑词直接当类别</x:v>
      </x:c>
    </x:row>
    <x:row r="5" ht="44" customHeight="1">
      <x:c r="A5" s="47" t="str">
        <x:v>适用人群</x:v>
      </x:c>
      <x:c r="B5" s="45" t="str">
        <x:v>下拉选择</x:v>
      </x:c>
      <x:c r="C5" s="45" t="str">
        <x:v>women / men / unisex / kids / unknown</x:v>
      </x:c>
      <x:c r="D5" s="45" t="str">
        <x:v>优先 Department 或分类路径；无法确认写 unknown</x:v>
      </x:c>
      <x:c r="E5" s="45" t="str">
        <x:v>缺失不等于 unisex</x:v>
      </x:c>
    </x:row>
    <x:row r="6" ht="44" customHeight="1">
      <x:c r="A6" s="47" t="str">
        <x:v>颜色</x:v>
      </x:c>
      <x:c r="B6" s="45" t="str">
        <x:v>小写英文；多个用 |</x:v>
      </x:c>
      <x:c r="C6" s="45" t="str">
        <x:v>black|white</x:v>
      </x:c>
      <x:c r="D6" s="45" t="str">
        <x:v>优先明确颜色字段，其次标题</x:v>
      </x:c>
      <x:c r="E6" s="45" t="str">
        <x:v>没有颜色信息写 unknown</x:v>
      </x:c>
    </x:row>
    <x:row r="7" ht="44" customHeight="1">
      <x:c r="A7" s="47" t="str">
        <x:v>材质</x:v>
      </x:c>
      <x:c r="B7" s="45" t="str">
        <x:v>小写英文；多个用 |</x:v>
      </x:c>
      <x:c r="C7" s="45" t="str">
        <x:v>cotton|polyester</x:v>
      </x:c>
      <x:c r="D7" s="45" t="str">
        <x:v>优先 Material，其次卖点和标题</x:v>
      </x:c>
      <x:c r="E7" s="45" t="str">
        <x:v>faux_leather 与 leather 必须区分</x:v>
      </x:c>
    </x:row>
    <x:row r="8" ht="44" customHeight="1">
      <x:c r="A8" s="47" t="str">
        <x:v>品牌</x:v>
      </x:c>
      <x:c r="B8" s="45" t="str">
        <x:v>品牌原名；无法判断写 unknown</x:v>
      </x:c>
      <x:c r="C8" s="45" t="str">
        <x:v>Nike</x:v>
      </x:c>
      <x:c r="D8" s="45" t="str">
        <x:v>品牌字段优先于制造商，制造商优先于店铺</x:v>
      </x:c>
      <x:c r="E8" s="45" t="str">
        <x:v>store 不能自动视为品牌</x:v>
      </x:c>
    </x:row>
    <x:row r="9" ht="44" customHeight="1">
      <x:c r="A9" s="47" t="str">
        <x:v>尺码</x:v>
      </x:c>
      <x:c r="B9" s="45" t="str">
        <x:v>保留原始表达</x:v>
      </x:c>
      <x:c r="C9" s="45" t="str">
        <x:v>US 8 / XL / unknown</x:v>
      </x:c>
      <x:c r="D9" s="45" t="str">
        <x:v>结合鞋、服装、首饰等商品类型判断</x:v>
      </x:c>
      <x:c r="E9" s="45" t="str">
        <x:v>不同类别的尺码不能直接比较</x:v>
      </x:c>
    </x:row>
    <x:row r="10" ht="44" customHeight="1">
      <x:c r="A10" s="47" t="str">
        <x:v>使用场景</x:v>
      </x:c>
      <x:c r="B10" s="45" t="str">
        <x:v>小写英文；多个用 |</x:v>
      </x:c>
      <x:c r="C10" s="45" t="str">
        <x:v>running|commuting</x:v>
      </x:c>
      <x:c r="D10" s="45" t="str">
        <x:v>描述商品适合什么时候或做什么</x:v>
      </x:c>
      <x:c r="E10" s="45" t="str">
        <x:v>winter 通常是场景</x:v>
      </x:c>
    </x:row>
    <x:row r="11" ht="44" customHeight="1">
      <x:c r="A11" s="47" t="str">
        <x:v>商品功能</x:v>
      </x:c>
      <x:c r="B11" s="45" t="str">
        <x:v>小写英文；多个用 |</x:v>
      </x:c>
      <x:c r="C11" s="45" t="str">
        <x:v>waterproof|insulated</x:v>
      </x:c>
      <x:c r="D11" s="45" t="str">
        <x:v>描述商品具有什么性能</x:v>
      </x:c>
      <x:c r="E11" s="45" t="str">
        <x:v>没有写防水只能写 unknown</x:v>
      </x:c>
    </x:row>
    <x:row r="12" ht="44" customHeight="1">
      <x:c r="A12" s="47" t="str">
        <x:v>数据问题</x:v>
      </x:c>
      <x:c r="B12" s="45" t="str">
        <x:v>问题标签用 | 分隔</x:v>
      </x:c>
      <x:c r="C12" s="45" t="str">
        <x:v>missing_price|conflicting_brand</x:v>
      </x:c>
      <x:c r="D12" s="45" t="str">
        <x:v>记录缺失、冲突、分类异常和歧义</x:v>
      </x:c>
      <x:c r="E12" s="45" t="str">
        <x:v>不要在这里写长句</x:v>
      </x:c>
    </x:row>
    <x:row r="13" ht="44" customHeight="1">
      <x:c r="A13" s="47" t="str">
        <x:v>审核备注</x:v>
      </x:c>
      <x:c r="B13" s="45" t="str">
        <x:v>中文或英文说明</x:v>
      </x:c>
      <x:c r="C13" s="45" t="str">
        <x:v>标题明确写100% Cotton</x:v>
      </x:c>
      <x:c r="D13" s="45" t="str">
        <x:v>记录证据和重要判断理由</x:v>
      </x:c>
      <x:c r="E13" s="45" t="str">
        <x:v>不要只写‘感觉是’</x:v>
      </x:c>
    </x:row>
  </x:sheetData>
  <x:mergeCells>
    <x:mergeCell ref="A1:E1"/>
    <x:mergeCell ref="A2:E2"/>
  </x:mergeCells>
  <x:pageMargins left="0.7" right="0.7" top="0.75" bottom="0.75" header="0.3" footer="0.3"/>
  <x:tableParts count="1">
    <x:tablePart xmlns:r="http://schemas.openxmlformats.org/officeDocument/2006/relationships" r:id="Ref5afaa24a134c9b"/>
  </x:tableParts>
</x:worksheet>
</file>